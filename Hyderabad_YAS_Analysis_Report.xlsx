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Demographics" sheetId="2" state="visible" r:id="rId4"/>
    <sheet name="3. Education &amp; Skills" sheetId="3" state="visible" r:id="rId5"/>
    <sheet name="4. Employment Analysis" sheetId="4" state="visible" r:id="rId6"/>
    <sheet name="5. Aspirations &amp; Skilling" sheetId="5" state="visible" r:id="rId7"/>
    <sheet name="6. Job Search &amp; Barriers" sheetId="6" state="visible" r:id="rId8"/>
    <sheet name="7. Budget Framework" sheetId="7" state="visible" r:id="rId9"/>
    <sheet name="8. Data Quality &amp; Methodology" sheetId="8" state="visible" r:id="rId10"/>
    <sheet name="9. Recommenda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<sst xmlns="http://schemas.openxmlformats.org/spreadsheetml/2006/main" count="1010" uniqueCount="853">
  <si>
    <t xml:space="preserve">HYDERABAD YOUTH ASPIRATION SURVEY — ANALYTICAL REPORT</t>
  </si>
  <si>
    <t xml:space="preserve">Borabanda Lighthouse Initiative  |  Survey Period: Feb 5 – Feb 18, 2026  |  n = 1,254 Respondents</t>
  </si>
  <si>
    <t xml:space="preserve">1,254</t>
  </si>
  <si>
    <t xml:space="preserve">60.0% / 40.0%</t>
  </si>
  <si>
    <t xml:space="preserve">62.3%</t>
  </si>
  <si>
    <t xml:space="preserve">Total Respondents</t>
  </si>
  <si>
    <t xml:space="preserve">Male / Female Split</t>
  </si>
  <si>
    <t xml:space="preserve">Unemployment Rate (willing)</t>
  </si>
  <si>
    <t xml:space="preserve">  A.  SURVEY CONTEXT &amp; SCOPE</t>
  </si>
  <si>
    <t xml:space="preserve">Parameter</t>
  </si>
  <si>
    <t xml:space="preserve">Detail</t>
  </si>
  <si>
    <t xml:space="preserve">Survey Title</t>
  </si>
  <si>
    <t xml:space="preserve">Youth Aspiration Survey (YAS) — Hyderabad</t>
  </si>
  <si>
    <t xml:space="preserve">Conducting Organization</t>
  </si>
  <si>
    <t xml:space="preserve">Forward Trust (Lighthouse Initiative)</t>
  </si>
  <si>
    <t xml:space="preserve">Survey Period</t>
  </si>
  <si>
    <t xml:space="preserve">February 5 – February 18, 2026</t>
  </si>
  <si>
    <t xml:space="preserve">Target Population</t>
  </si>
  <si>
    <t xml:space="preserve">Youth aged 18–35 residing in peri-urban communities around Borabanda, Hyderabad</t>
  </si>
  <si>
    <t xml:space="preserve">Sampling Method</t>
  </si>
  <si>
    <t xml:space="preserve">Community-based household enumeration</t>
  </si>
  <si>
    <t xml:space="preserve">Total Valid Responses</t>
  </si>
  <si>
    <t xml:space="preserve">1,254  (of 1,612 rows; 358 are blank/metadata rows)</t>
  </si>
  <si>
    <t xml:space="preserve">Surveyors Deployed</t>
  </si>
  <si>
    <t xml:space="preserve">76 field surveyors</t>
  </si>
  <si>
    <t xml:space="preserve">Communities Covered</t>
  </si>
  <si>
    <t xml:space="preserve">~30+ communities; primary clusters: Borabanda, Site 3, Rajiv Gandhi Nagar, Mothi Nagar</t>
  </si>
  <si>
    <t xml:space="preserve">Survey Instrument</t>
  </si>
  <si>
    <t xml:space="preserve">KoboToolbox / ODK digital form — 232 columns across demographics, employment, aspirations, skilling</t>
  </si>
  <si>
    <t xml:space="preserve">Primary Objective</t>
  </si>
  <si>
    <t xml:space="preserve">Map youth employment status, skill gaps, aspirations, and willingness to enroll in Government skilling programs</t>
  </si>
  <si>
    <t xml:space="preserve">  B.  HEADLINE FINDINGS</t>
  </si>
  <si>
    <t xml:space="preserve">#</t>
  </si>
  <si>
    <t xml:space="preserve">Theme</t>
  </si>
  <si>
    <t xml:space="preserve">Finding</t>
  </si>
  <si>
    <t xml:space="preserve">1</t>
  </si>
  <si>
    <t xml:space="preserve">Employment Crisis</t>
  </si>
  <si>
    <t xml:space="preserve">62.3% (0 of 1,254) are unemployed but willing to work — a substantial latent labour pool in high-density peri-urban communities.</t>
  </si>
  <si>
    <t xml:space="preserve">2</t>
  </si>
  <si>
    <t xml:space="preserve">Education Profile</t>
  </si>
  <si>
    <t xml:space="preserve">Predominantly 12th pass (36.6%) and 10th pass (22.9%); only 20.3% are graduates or above. Tertiary attainment is low, constraining formal sector entry.</t>
  </si>
  <si>
    <t xml:space="preserve">3</t>
  </si>
  <si>
    <t xml:space="preserve">Skill Gap Acknowledged</t>
  </si>
  <si>
    <t xml:space="preserve">Only 7.5% of all respondents have ever enrolled in vocational training. Simultaneously, 55.8% were unaware vocational courses existed — signaling a critical information deficit.</t>
  </si>
  <si>
    <t xml:space="preserve">4</t>
  </si>
  <si>
    <t xml:space="preserve">Salary Mismatch</t>
  </si>
  <si>
    <t xml:space="preserve">35.4% expect &gt;₹25,000/month; 27.5% expect ₹20–25K. Median HH income cluster is ₹20–25K, implying salary expectations are near-ceiling for many households.</t>
  </si>
  <si>
    <t xml:space="preserve">5</t>
  </si>
  <si>
    <t xml:space="preserve">Skilling Appetite is High</t>
  </si>
  <si>
    <t xml:space="preserve">248 respondents (34.9% of those who responded) are willing or very willing to join Government skilling programs.</t>
  </si>
  <si>
    <t xml:space="preserve">6</t>
  </si>
  <si>
    <t xml:space="preserve">Top Skill Demand</t>
  </si>
  <si>
    <t xml:space="preserve">Digital Marketing (339), Office Executive (327), and Account Executive (259) are the top 3 skilling courses preferred — all aligned with white-collar entry-level work.</t>
  </si>
  <si>
    <t xml:space="preserve">7</t>
  </si>
  <si>
    <t xml:space="preserve">Aspiration vs. Reality Gap</t>
  </si>
  <si>
    <t xml:space="preserve">"Any office work" (321 mentions) and Health Sector (311) top job aspirations; yet 57% of currently employed work in blue-collar roles. Reskilling is the bridge.</t>
  </si>
  <si>
    <t xml:space="preserve">8</t>
  </si>
  <si>
    <t xml:space="preserve">Job Security Dominates</t>
  </si>
  <si>
    <t xml:space="preserve">Job Security (759 mentions) and Earning Potential (586) are the two most critical job selection factors — indicating risk-aversion among youth in informal communities.</t>
  </si>
  <si>
    <t xml:space="preserve">9</t>
  </si>
  <si>
    <t xml:space="preserve">Proximity Constraint</t>
  </si>
  <si>
    <t xml:space="preserve">62.3% unwilling to travel more than 30–60 minutes; 91.7% would travel to Borabanda Lighthouse for skilling — validating the Lighthouse as an optimal delivery node.</t>
  </si>
  <si>
    <t xml:space="preserve">10</t>
  </si>
  <si>
    <t xml:space="preserve">Gender Disparity</t>
  </si>
  <si>
    <t xml:space="preserve">Female respondents show higher rates of job refusal due to "not allowed to work" constraints (11.4% vs 3.3% male) and carry higher household responsibility burdens.</t>
  </si>
  <si>
    <t xml:space="preserve">  C.  STRATEGIC IMPLICATIONS</t>
  </si>
  <si>
    <t xml:space="preserve">  ▸  Prioritize Digital &amp; Office skilling tracks — highest stated demand, clear employment pathways (BPO, KPO, retail admin)</t>
  </si>
  <si>
    <t xml:space="preserve">  ▸  Address information asymmetry first — 55.8% unaware of vocational options; targeted IEC campaigns in communities can unlock latent demand</t>
  </si>
  <si>
    <t xml:space="preserve">  ▸  Borabanda Lighthouse is optimally positioned — ~91.7% willing to travel there; collocate skilling + placement services</t>
  </si>
  <si>
    <t xml:space="preserve">  ▸  Design gender-sensitive pathways — Beauty Parlour, Fashion Designing, and BPO tracks show female-skewed uptake; include childcare/flexible scheduling</t>
  </si>
  <si>
    <t xml:space="preserve">  ▸  Align salary expectations through transparent market education — misalignment between ₹25K+ expectations and ₹15–20K market rates risks dropout post-placement</t>
  </si>
  <si>
    <t xml:space="preserve">  ▸  Embed job security framing in program marketing — emphasize ESIC, PF, and permanent employment outcomes to match youth's primary selection criteria</t>
  </si>
  <si>
    <t xml:space="preserve">SECTION 2 — DEMOGRAPHIC &amp; HOUSEHOLD PROFILE</t>
  </si>
  <si>
    <t xml:space="preserve">  2.1  GENDER DISTRIBUTION</t>
  </si>
  <si>
    <t xml:space="preserve">Gender</t>
  </si>
  <si>
    <t xml:space="preserve">Count</t>
  </si>
  <si>
    <t xml:space="preserve">%</t>
  </si>
  <si>
    <t xml:space="preserve">Male</t>
  </si>
  <si>
    <t xml:space="preserve">Female</t>
  </si>
  <si>
    <t xml:space="preserve">Total</t>
  </si>
  <si>
    <t xml:space="preserve">  2.2  AGE GROUP DISTRIBUTION</t>
  </si>
  <si>
    <t xml:space="preserve">Age Group</t>
  </si>
  <si>
    <t xml:space="preserve">18–20</t>
  </si>
  <si>
    <t xml:space="preserve">21–23</t>
  </si>
  <si>
    <t xml:space="preserve">24–26</t>
  </si>
  <si>
    <t xml:space="preserve">27–29</t>
  </si>
  <si>
    <t xml:space="preserve">30–32</t>
  </si>
  <si>
    <t xml:space="preserve">33–35</t>
  </si>
  <si>
    <t xml:space="preserve">TOTAL</t>
  </si>
  <si>
    <t xml:space="preserve">100.0%</t>
  </si>
  <si>
    <t xml:space="preserve">  2.3  RELIGION</t>
  </si>
  <si>
    <t xml:space="preserve">Religion</t>
  </si>
  <si>
    <t xml:space="preserve">Hindu</t>
  </si>
  <si>
    <t xml:space="preserve">Muslim</t>
  </si>
  <si>
    <t xml:space="preserve">Christian</t>
  </si>
  <si>
    <t xml:space="preserve">Don't want to answer</t>
  </si>
  <si>
    <t xml:space="preserve">  2.4  CASTE CATEGORY</t>
  </si>
  <si>
    <t xml:space="preserve">Caste</t>
  </si>
  <si>
    <t xml:space="preserve">OBC</t>
  </si>
  <si>
    <t xml:space="preserve">SC/ST</t>
  </si>
  <si>
    <t xml:space="preserve">General Category</t>
  </si>
  <si>
    <t xml:space="preserve">Other</t>
  </si>
  <si>
    <t xml:space="preserve">Don't know</t>
  </si>
  <si>
    <t xml:space="preserve">  2.5  MARITAL STATUS</t>
  </si>
  <si>
    <t xml:space="preserve">Status</t>
  </si>
  <si>
    <t xml:space="preserve">Unmarried</t>
  </si>
  <si>
    <t xml:space="preserve">Married</t>
  </si>
  <si>
    <t xml:space="preserve">Widowed</t>
  </si>
  <si>
    <t xml:space="preserve">Divorced/Separated</t>
  </si>
  <si>
    <t xml:space="preserve">  2.6  HOUSEHOLD PROFILE</t>
  </si>
  <si>
    <t xml:space="preserve">Metric</t>
  </si>
  <si>
    <t xml:space="preserve">Distribution</t>
  </si>
  <si>
    <t xml:space="preserve">Household Size</t>
  </si>
  <si>
    <t xml:space="preserve">4 members: 44.3% | 3 members: 22.5% | 5 members: 16.4% | &gt;5: 10.1%</t>
  </si>
  <si>
    <t xml:space="preserve">Youth per Household (18–35)</t>
  </si>
  <si>
    <t xml:space="preserve">2 members: 44.9% | 1 member: 39.6% | 3 members: 9.7%</t>
  </si>
  <si>
    <t xml:space="preserve">Earning Members</t>
  </si>
  <si>
    <t xml:space="preserve">1 member: 50.7% | 2 members: 32.8% | 3 members: 11.6%</t>
  </si>
  <si>
    <t xml:space="preserve">Chief Wage Earner</t>
  </si>
  <si>
    <t xml:space="preserve">Father: 51.6% | Husband: 20.0% | Self: 13.3% | Mother: 7.3%</t>
  </si>
  <si>
    <t xml:space="preserve">Chief Earner Occupation</t>
  </si>
  <si>
    <t xml:space="preserve">Blue Collar: 58.5% | Entrepreneur: 19.2% | White Collar: 15.4%</t>
  </si>
  <si>
    <t xml:space="preserve">HH Monthly Income (modal)</t>
  </si>
  <si>
    <t xml:space="preserve">Rs. 20,001 – Rs. 25,000 (23.1%) | Rs. 15,001 – Rs. 20,000 (18.5%)</t>
  </si>
  <si>
    <t xml:space="preserve">HH Monthly Expenditure (modal)</t>
  </si>
  <si>
    <t xml:space="preserve">Rs. 5,000 – Rs. 10,000 (26.3%) | Rs. 10,001 – Rs. 15,000 (18.3%)</t>
  </si>
  <si>
    <t xml:space="preserve">Savings Indicator</t>
  </si>
  <si>
    <t xml:space="preserve">Income &gt; Expenditure for ~55–60% of households (modal income band exceeds modal expenditure band)</t>
  </si>
  <si>
    <t xml:space="preserve">  2.7  HOUSEHOLD ASSET OWNERSHIP</t>
  </si>
  <si>
    <t xml:space="preserve">Asset</t>
  </si>
  <si>
    <t xml:space="preserve">Count Owning</t>
  </si>
  <si>
    <t xml:space="preserve">% of HHs</t>
  </si>
  <si>
    <t xml:space="preserve">Television</t>
  </si>
  <si>
    <t xml:space="preserve">Gas Connection</t>
  </si>
  <si>
    <t xml:space="preserve">Smartphone</t>
  </si>
  <si>
    <t xml:space="preserve">Fridge</t>
  </si>
  <si>
    <t xml:space="preserve">Button Phone</t>
  </si>
  <si>
    <t xml:space="preserve">WiFi Connection</t>
  </si>
  <si>
    <t xml:space="preserve">Computer/Laptop/Tablet</t>
  </si>
  <si>
    <t xml:space="preserve">  2.8  LANGUAGES SPOKEN</t>
  </si>
  <si>
    <t xml:space="preserve">Language</t>
  </si>
  <si>
    <t xml:space="preserve">Speakers</t>
  </si>
  <si>
    <t xml:space="preserve">% of Respondents</t>
  </si>
  <si>
    <t xml:space="preserve">Telugu</t>
  </si>
  <si>
    <t xml:space="preserve">Hindi</t>
  </si>
  <si>
    <t xml:space="preserve">English</t>
  </si>
  <si>
    <t xml:space="preserve">Urdu</t>
  </si>
  <si>
    <t xml:space="preserve">Kannada</t>
  </si>
  <si>
    <t xml:space="preserve">Tamil</t>
  </si>
  <si>
    <t xml:space="preserve">Marathi</t>
  </si>
  <si>
    <t xml:space="preserve">Note: Multi-select — respondents can speak multiple languages; percentages exceed 100%</t>
  </si>
  <si>
    <t xml:space="preserve">SECTION 3 — EDUCATION &amp; SKILLS PROFILE</t>
  </si>
  <si>
    <t xml:space="preserve">  3.1  HIGHEST EDUCATION LEVEL</t>
  </si>
  <si>
    <t xml:space="preserve">Education Level</t>
  </si>
  <si>
    <t xml:space="preserve">% Total</t>
  </si>
  <si>
    <t xml:space="preserve">Analytical Note</t>
  </si>
  <si>
    <t xml:space="preserve">No Education</t>
  </si>
  <si>
    <t xml:space="preserve">High vulnerability; need literacy-linked skilling</t>
  </si>
  <si>
    <t xml:space="preserve">Pre-Primary / 1st Std</t>
  </si>
  <si>
    <t xml:space="preserve">Negligible proportion</t>
  </si>
  <si>
    <t xml:space="preserve">2nd – 5th Standard</t>
  </si>
  <si>
    <t xml:space="preserve">Basic literacy — manual/vocational suitable</t>
  </si>
  <si>
    <t xml:space="preserve">6th – 9th Standard</t>
  </si>
  <si>
    <t xml:space="preserve">Near-secondary dropout — target for foundation courses</t>
  </si>
  <si>
    <t xml:space="preserve">10th Pass</t>
  </si>
  <si>
    <t xml:space="preserve">Modal lower segment; strong foundation for vocational track</t>
  </si>
  <si>
    <t xml:space="preserve">12th Pass</t>
  </si>
  <si>
    <t xml:space="preserve">Largest single cohort; best candidate for office/BPO skilling</t>
  </si>
  <si>
    <t xml:space="preserve">Diploma / Certificate</t>
  </si>
  <si>
    <t xml:space="preserve">Small but already skilled; need placement support</t>
  </si>
  <si>
    <t xml:space="preserve">Graduation</t>
  </si>
  <si>
    <t xml:space="preserve">Second largest; expectations likely high; tech/digital ready</t>
  </si>
  <si>
    <t xml:space="preserve">Post-Graduation</t>
  </si>
  <si>
    <t xml:space="preserve">Highest qualified; analytical or specialized roles</t>
  </si>
  <si>
    <t xml:space="preserve">Excluded from analysis</t>
  </si>
  <si>
    <t xml:space="preserve">TOTAL (Excl. DK/DNA)</t>
  </si>
  <si>
    <t xml:space="preserve">  3.2  CURRENT EDUCATION STATUS</t>
  </si>
  <si>
    <t xml:space="preserve">Currently Pursuing Education</t>
  </si>
  <si>
    <t xml:space="preserve">Not Pursuing</t>
  </si>
  <si>
    <t xml:space="preserve">  3.3  VOCATIONAL TRAINING AWARENESS &amp; ENROLLMENT</t>
  </si>
  <si>
    <t xml:space="preserve">Indicator</t>
  </si>
  <si>
    <t xml:space="preserve">Yes</t>
  </si>
  <si>
    <t xml:space="preserve">No</t>
  </si>
  <si>
    <t xml:space="preserve">Aware of Vocational Courses</t>
  </si>
  <si>
    <t xml:space="preserve">Ever Enrolled in Vocational Training</t>
  </si>
  <si>
    <t xml:space="preserve">Undergone Career Counselling</t>
  </si>
  <si>
    <t xml:space="preserve">KEY INSIGHT: 92.5% have NEVER enrolled in vocational training. Only 35.2% are aware vocational courses exist. Both metrics signal an acute information and access gap — not disinterest.</t>
  </si>
  <si>
    <t xml:space="preserve">  3.4  COURSES TAKEN (Among Enrolled)</t>
  </si>
  <si>
    <t xml:space="preserve">Course</t>
  </si>
  <si>
    <t xml:space="preserve">% of Enrolled (94)</t>
  </si>
  <si>
    <t xml:space="preserve">Cec</t>
  </si>
  <si>
    <t xml:space="preserve">Tailoring </t>
  </si>
  <si>
    <t xml:space="preserve">Jawa</t>
  </si>
  <si>
    <t xml:space="preserve">Beautician </t>
  </si>
  <si>
    <t xml:space="preserve">Computer </t>
  </si>
  <si>
    <t xml:space="preserve">Java</t>
  </si>
  <si>
    <t xml:space="preserve">Digital marketing</t>
  </si>
  <si>
    <t xml:space="preserve">Data analytics </t>
  </si>
  <si>
    <t xml:space="preserve">Tally</t>
  </si>
  <si>
    <t xml:space="preserve">Tally </t>
  </si>
  <si>
    <t xml:space="preserve">  3.5  CAREER COUNSELLING USEFULNESS</t>
  </si>
  <si>
    <t xml:space="preserve">Rating</t>
  </si>
  <si>
    <t xml:space="preserve">% of Counselled (190)</t>
  </si>
  <si>
    <t xml:space="preserve">Found Useful</t>
  </si>
  <si>
    <t xml:space="preserve">Not Useful</t>
  </si>
  <si>
    <t xml:space="preserve">Note: 76.8% found career counselling useful — strong validation for embedding counselling in Lighthouse programs.</t>
  </si>
  <si>
    <t xml:space="preserve">SECTION 4 — EMPLOYMENT STATUS &amp; INCOME ANALYSIS</t>
  </si>
  <si>
    <t xml:space="preserve">  4.1  EMPLOYMENT STATUS BREAKDOWN</t>
  </si>
  <si>
    <t xml:space="preserve">Employment Status</t>
  </si>
  <si>
    <t xml:space="preserve">Male %</t>
  </si>
  <si>
    <t xml:space="preserve">Female %</t>
  </si>
  <si>
    <t xml:space="preserve">Interpretation</t>
  </si>
  <si>
    <t xml:space="preserve">Employed</t>
  </si>
  <si>
    <t xml:space="preserve">Active earners; benchmark for quality/benefits</t>
  </si>
  <si>
    <t xml:space="preserve">Unemployed — Willing to Work</t>
  </si>
  <si>
    <t xml:space="preserve">Primary intervention target; highest priority</t>
  </si>
  <si>
    <t xml:space="preserve">Unemployed — Unwilling to Work</t>
  </si>
  <si>
    <t xml:space="preserve">Likely caregiving/family constrained; esp. female</t>
  </si>
  <si>
    <t xml:space="preserve">Don't Want to Answer</t>
  </si>
  <si>
    <t xml:space="preserve">Excluded from core analysis</t>
  </si>
  <si>
    <t xml:space="preserve">  4.2  OCCUPATION TYPE (Currently Employed, n=288)</t>
  </si>
  <si>
    <t xml:space="preserve">Occupation Category</t>
  </si>
  <si>
    <t xml:space="preserve">% Employed</t>
  </si>
  <si>
    <t xml:space="preserve">Notes</t>
  </si>
  <si>
    <t xml:space="preserve">Blue Collar (Driver, Plumber, Delivery, etc.)</t>
  </si>
  <si>
    <t xml:space="preserve">Dominant segment — likely informal sector</t>
  </si>
  <si>
    <t xml:space="preserve">White Collar (Desk/Office/IT/Teaching)</t>
  </si>
  <si>
    <t xml:space="preserve">Formal sector; minority of employed</t>
  </si>
  <si>
    <t xml:space="preserve">Entrepreneur / Self-Employed</t>
  </si>
  <si>
    <t xml:space="preserve">Petty traders, shop owners; high informality</t>
  </si>
  <si>
    <t xml:space="preserve">Unknown / Other</t>
  </si>
  <si>
    <t xml:space="preserve">Negligible</t>
  </si>
  <si>
    <t xml:space="preserve">  4.3  INDIVIDUAL MONTHLY INCOME (Currently Employed, n=288)</t>
  </si>
  <si>
    <t xml:space="preserve">Income Band</t>
  </si>
  <si>
    <t xml:space="preserve">Mid-point (₹)</t>
  </si>
  <si>
    <t xml:space="preserve">Analysis</t>
  </si>
  <si>
    <t xml:space="preserve">Upto Rs. 5,000</t>
  </si>
  <si>
    <t xml:space="preserve">Extreme poverty wage — below MGNREGA rates</t>
  </si>
  <si>
    <t xml:space="preserve">Rs. 5,001 – Rs. 10,000</t>
  </si>
  <si>
    <t xml:space="preserve">Below minimum wage — informal sector typical</t>
  </si>
  <si>
    <t xml:space="preserve">Rs. 10,001 – Rs. 15,000</t>
  </si>
  <si>
    <t xml:space="preserve">Near minimum wage; semi-skilled tier</t>
  </si>
  <si>
    <t xml:space="preserve">Rs. 15,001 – Rs. 20,000</t>
  </si>
  <si>
    <t xml:space="preserve">Most common — modal employed income; skilled blue collar</t>
  </si>
  <si>
    <t xml:space="preserve">Rs. 20,001 – Rs. 25,000</t>
  </si>
  <si>
    <t xml:space="preserve">Entry white-collar; BPO/office range</t>
  </si>
  <si>
    <t xml:space="preserve">Rs. 25,001 – Rs. 30,000</t>
  </si>
  <si>
    <t xml:space="preserve">Experienced skilled workers</t>
  </si>
  <si>
    <t xml:space="preserve">Rs. 30,001 – Rs. 35,000</t>
  </si>
  <si>
    <t xml:space="preserve">Supervisory / technical</t>
  </si>
  <si>
    <t xml:space="preserve">More than Rs. 35,000</t>
  </si>
  <si>
    <t xml:space="preserve">Professional / entrepreneurial tier</t>
  </si>
  <si>
    <t xml:space="preserve">-</t>
  </si>
  <si>
    <t xml:space="preserve">Excluded from income analysis</t>
  </si>
  <si>
    <t xml:space="preserve">  4.4  HOUSEHOLD MONTHLY INCOME DISTRIBUTION (All Respondents)</t>
  </si>
  <si>
    <t xml:space="preserve">HH Income Band</t>
  </si>
  <si>
    <t xml:space="preserve">HHs</t>
  </si>
  <si>
    <t xml:space="preserve">% Valid</t>
  </si>
  <si>
    <t xml:space="preserve">HH Expenditure Band</t>
  </si>
  <si>
    <t xml:space="preserve">Rs. 5,001–10,000</t>
  </si>
  <si>
    <t xml:space="preserve">Rs. 5,000–10,000</t>
  </si>
  <si>
    <t xml:space="preserve">Rs. 10,001–15,000</t>
  </si>
  <si>
    <t xml:space="preserve">Rs. 15,001–20,000</t>
  </si>
  <si>
    <t xml:space="preserve">Rs. 20,001–25,000</t>
  </si>
  <si>
    <t xml:space="preserve">Rs. 25,001–30,000</t>
  </si>
  <si>
    <t xml:space="preserve">Rs. 30,001–35,000</t>
  </si>
  <si>
    <t xml:space="preserve">  4.5  EMPLOYMENT BENEFITS RECEIVED (Among Employed, n=288)</t>
  </si>
  <si>
    <t xml:space="preserve">Benefit</t>
  </si>
  <si>
    <t xml:space="preserve">Salary Slip</t>
  </si>
  <si>
    <t xml:space="preserve">Only 35.8% have documentary proof — high informality</t>
  </si>
  <si>
    <t xml:space="preserve">PF</t>
  </si>
  <si>
    <t xml:space="preserve">32.3% — social security coverage is minimal</t>
  </si>
  <si>
    <t xml:space="preserve">Health Insurance</t>
  </si>
  <si>
    <t xml:space="preserve">25.0% — majority uninsured; risk exposure</t>
  </si>
  <si>
    <t xml:space="preserve">None</t>
  </si>
  <si>
    <t xml:space="preserve">46.5% receive NO formal employment benefit</t>
  </si>
  <si>
    <t xml:space="preserve">  4.6  REASONS FOR LEAVING LAST JOB (Previously Employed)</t>
  </si>
  <si>
    <t xml:space="preserve">Reason</t>
  </si>
  <si>
    <t xml:space="preserve">Rank</t>
  </si>
  <si>
    <t xml:space="preserve">Insufficient Salary / Income</t>
  </si>
  <si>
    <t xml:space="preserve">Health Issues</t>
  </si>
  <si>
    <t xml:space="preserve">Long/Inconvenient Working Hours</t>
  </si>
  <si>
    <t xml:space="preserve">Family Responsibilities</t>
  </si>
  <si>
    <t xml:space="preserve">Lack of Growth Opportunities</t>
  </si>
  <si>
    <t xml:space="preserve">Pursuing Education / Skilling</t>
  </si>
  <si>
    <t xml:space="preserve">Migration</t>
  </si>
  <si>
    <t xml:space="preserve">Contract Ended</t>
  </si>
  <si>
    <t xml:space="preserve">Unsafe Work Environment</t>
  </si>
  <si>
    <t xml:space="preserve">Transport / Commuting</t>
  </si>
  <si>
    <t xml:space="preserve">Family Pressure</t>
  </si>
  <si>
    <t xml:space="preserve">Work-Life Balance</t>
  </si>
  <si>
    <t xml:space="preserve">Workplace Harassment</t>
  </si>
  <si>
    <t xml:space="preserve">SECTION 5 — JOB ASPIRATIONS, SKILLING DEMAND &amp; SALARY EXPECTATIONS</t>
  </si>
  <si>
    <t xml:space="preserve">  5.1  JOB ROLE ASPIRATIONS (Select up to 3, n=1,069 who responded)</t>
  </si>
  <si>
    <t xml:space="preserve">Job Role</t>
  </si>
  <si>
    <t xml:space="preserve">Mentions</t>
  </si>
  <si>
    <t xml:space="preserve">% Respondents</t>
  </si>
  <si>
    <t xml:space="preserve">Skill Alignment</t>
  </si>
  <si>
    <t xml:space="preserve">Any "office work"</t>
  </si>
  <si>
    <t xml:space="preserve">Office Executive, Digital Marketing, Account Executive</t>
  </si>
  <si>
    <t xml:space="preserve">Health Sector</t>
  </si>
  <si>
    <t xml:space="preserve">Healthcare Aide, Nursing Assistant course</t>
  </si>
  <si>
    <t xml:space="preserve">Sales and Marketing</t>
  </si>
  <si>
    <t xml:space="preserve">Digital Marketing, BPO/KPO</t>
  </si>
  <si>
    <t xml:space="preserve">Billing Executive / Cashier</t>
  </si>
  <si>
    <t xml:space="preserve">BFSI, Office Executive, Tally</t>
  </si>
  <si>
    <t xml:space="preserve">Manufacturing / Factory</t>
  </si>
  <si>
    <t xml:space="preserve">Short vocational trades; EV/manufacturing courses</t>
  </si>
  <si>
    <t xml:space="preserve">Logistics Sector</t>
  </si>
  <si>
    <t xml:space="preserve">Logistics, supply chain basics</t>
  </si>
  <si>
    <t xml:space="preserve">Retail-Store Executive</t>
  </si>
  <si>
    <t xml:space="preserve">Logistics, Customer Service</t>
  </si>
  <si>
    <t xml:space="preserve">IT industries</t>
  </si>
  <si>
    <t xml:space="preserve">Python, Java, UI/UX</t>
  </si>
  <si>
    <t xml:space="preserve">Fashion Designing</t>
  </si>
  <si>
    <t xml:space="preserve">Fashion Designing (direct match)</t>
  </si>
  <si>
    <t xml:space="preserve">Do My Own Business</t>
  </si>
  <si>
    <t xml:space="preserve">Financial literacy, BFSI, Digital Marketing</t>
  </si>
  <si>
    <t xml:space="preserve">BPO / KPO</t>
  </si>
  <si>
    <t xml:space="preserve">BPO/KPO, English communication</t>
  </si>
  <si>
    <t xml:space="preserve">Beauty Parlour</t>
  </si>
  <si>
    <t xml:space="preserve">Beauty Parlour (direct match)</t>
  </si>
  <si>
    <t xml:space="preserve">Delivery / Gig Work</t>
  </si>
  <si>
    <t xml:space="preserve">Platform literacy, financial management</t>
  </si>
  <si>
    <t xml:space="preserve">Labour / Manual Job</t>
  </si>
  <si>
    <t xml:space="preserve">Safety, basic trades</t>
  </si>
  <si>
    <t xml:space="preserve">Hospitality &amp; Tourism</t>
  </si>
  <si>
    <t xml:space="preserve">Hospitality and service management</t>
  </si>
  <si>
    <t xml:space="preserve">  5.2  PREFERRED SKILLING COURSES (n=711 willing to enroll)</t>
  </si>
  <si>
    <t xml:space="preserve">Demand Count</t>
  </si>
  <si>
    <t xml:space="preserve">% Willing Respondents</t>
  </si>
  <si>
    <t xml:space="preserve">Sector</t>
  </si>
  <si>
    <t xml:space="preserve">Digital Marketing</t>
  </si>
  <si>
    <t xml:space="preserve">IT / Marketing</t>
  </si>
  <si>
    <t xml:space="preserve">Office Executive</t>
  </si>
  <si>
    <t xml:space="preserve">Administration</t>
  </si>
  <si>
    <t xml:space="preserve">Account Executive</t>
  </si>
  <si>
    <t xml:space="preserve">Finance / Admin</t>
  </si>
  <si>
    <t xml:space="preserve">Graphic Design</t>
  </si>
  <si>
    <t xml:space="preserve">Creative / Digital</t>
  </si>
  <si>
    <t xml:space="preserve">Personal Care</t>
  </si>
  <si>
    <t xml:space="preserve">Apparel / Lifestyle</t>
  </si>
  <si>
    <t xml:space="preserve">Data Analytics</t>
  </si>
  <si>
    <t xml:space="preserve">IT / Analytics</t>
  </si>
  <si>
    <t xml:space="preserve">B.P.O.</t>
  </si>
  <si>
    <t xml:space="preserve">Customer Service</t>
  </si>
  <si>
    <t xml:space="preserve">Python</t>
  </si>
  <si>
    <t xml:space="preserve">IT / Software</t>
  </si>
  <si>
    <t xml:space="preserve">BFSI</t>
  </si>
  <si>
    <t xml:space="preserve">Finance</t>
  </si>
  <si>
    <t xml:space="preserve">UI/UX Developer</t>
  </si>
  <si>
    <t xml:space="preserve">IT / Design</t>
  </si>
  <si>
    <t xml:space="preserve">  5.3  SALARY EXPECTATIONS (n=701 who responded)</t>
  </si>
  <si>
    <t xml:space="preserve">Expected Monthly Salary</t>
  </si>
  <si>
    <t xml:space="preserve">% Male</t>
  </si>
  <si>
    <t xml:space="preserve">% Female</t>
  </si>
  <si>
    <t xml:space="preserve">Market Alignment</t>
  </si>
  <si>
    <t xml:space="preserve">Less than Rs. 10,000</t>
  </si>
  <si>
    <t xml:space="preserve">Below market — likely accepting any income</t>
  </si>
  <si>
    <t xml:space="preserve">Rs. 10,000 – Rs. 15,000</t>
  </si>
  <si>
    <t xml:space="preserve">Realistic for entry vocational training</t>
  </si>
  <si>
    <t xml:space="preserve">Rs. 15,000 – Rs. 20,000</t>
  </si>
  <si>
    <t xml:space="preserve">Achievable — BPO, retail, blue collar</t>
  </si>
  <si>
    <t xml:space="preserve">Rs. 20,000 – Rs. 25,000</t>
  </si>
  <si>
    <t xml:space="preserve">Ambitious but attainable with 12th + skilling</t>
  </si>
  <si>
    <t xml:space="preserve">More than Rs. 25,000</t>
  </si>
  <si>
    <t xml:space="preserve">High — needs graduation + 1–2 yr experience typically</t>
  </si>
  <si>
    <t xml:space="preserve">  5.4  JOB PREFERENCE PARAMETERS</t>
  </si>
  <si>
    <t xml:space="preserve">Preference</t>
  </si>
  <si>
    <t xml:space="preserve">Program Design Implication</t>
  </si>
  <si>
    <t xml:space="preserve">Fixed Timing Job</t>
  </si>
  <si>
    <t xml:space="preserve">Prefer structured hours — manageable for classroom delivery</t>
  </si>
  <si>
    <t xml:space="preserve">Night Shift Acceptance</t>
  </si>
  <si>
    <t xml:space="preserve">Strong resistance; day-only placements preferred</t>
  </si>
  <si>
    <t xml:space="preserve">Salary Type Preference</t>
  </si>
  <si>
    <t xml:space="preserve">Fixed Salary</t>
  </si>
  <si>
    <t xml:space="preserve">Risk-aversion dominates; avoid pure commission models</t>
  </si>
  <si>
    <t xml:space="preserve">Travel Willingness</t>
  </si>
  <si>
    <t xml:space="preserve">30–60 min</t>
  </si>
  <si>
    <t xml:space="preserve">Hyper-local placements critical; Lighthouse as hub ideal</t>
  </si>
  <si>
    <t xml:space="preserve">Job Without Benefits</t>
  </si>
  <si>
    <t xml:space="preserve">Varies</t>
  </si>
  <si>
    <t xml:space="preserve">—</t>
  </si>
  <si>
    <t xml:space="preserve">See benefits data in Sheet 4 for detail</t>
  </si>
  <si>
    <t xml:space="preserve">  5.5  TOP JOB SELECTION FACTORS (Ranked by Mention Frequency)</t>
  </si>
  <si>
    <t xml:space="preserve">Factor</t>
  </si>
  <si>
    <t xml:space="preserve">% of n=1,059</t>
  </si>
  <si>
    <t xml:space="preserve">Implication</t>
  </si>
  <si>
    <t xml:space="preserve">Job Security</t>
  </si>
  <si>
    <t xml:space="preserve">Emphasize ESIC, PF, permanent contracts in placement marketing</t>
  </si>
  <si>
    <t xml:space="preserve">Earning Potential</t>
  </si>
  <si>
    <t xml:space="preserve">Show realistic salary progression paths at placement partners</t>
  </si>
  <si>
    <t xml:space="preserve">Full Time / Part Time</t>
  </si>
  <si>
    <t xml:space="preserve">Offer both FT and PT placement tracks</t>
  </si>
  <si>
    <t xml:space="preserve">Permanent / Non-Contractual Job</t>
  </si>
  <si>
    <t xml:space="preserve">Target formal sector employers; avoid gig-only placements</t>
  </si>
  <si>
    <t xml:space="preserve">Job Location</t>
  </si>
  <si>
    <t xml:space="preserve">Prioritize employers within 5km of Borabanda; use geo-matching</t>
  </si>
  <si>
    <t xml:space="preserve">Employment Benefits (PF, Health Insurance)</t>
  </si>
  <si>
    <t xml:space="preserve">Pre-screen employers for ESIC/PF compliance</t>
  </si>
  <si>
    <t xml:space="preserve">Social Status</t>
  </si>
  <si>
    <t xml:space="preserve">Position white-collar roles with aspirational framing in comms</t>
  </si>
  <si>
    <t xml:space="preserve">Fast-Track Career Growth</t>
  </si>
  <si>
    <t xml:space="preserve">Build visible career ladders into curriculum design</t>
  </si>
  <si>
    <t xml:space="preserve">Gender Suitable Role</t>
  </si>
  <si>
    <t xml:space="preserve">Develop gender-separated assessment tracks</t>
  </si>
  <si>
    <t xml:space="preserve">Parent's Desire</t>
  </si>
  <si>
    <t xml:space="preserve">Engage parents in orientation programs</t>
  </si>
  <si>
    <t xml:space="preserve">Alignment with Education / Skill</t>
  </si>
  <si>
    <t xml:space="preserve">Align course selection to prior edu in counselling</t>
  </si>
  <si>
    <t xml:space="preserve">Peer Choice</t>
  </si>
  <si>
    <t xml:space="preserve">Peer ambassador models for batch recruitment</t>
  </si>
  <si>
    <t xml:space="preserve">Low Waiting Time</t>
  </si>
  <si>
    <t xml:space="preserve">Pre-arranged hiring fairs; target &lt;4 week placement cycles</t>
  </si>
  <si>
    <t xml:space="preserve">SECTION 6 — JOB SEARCH CHALLENGES, INFORMATION SOURCES &amp; SKILLING READINESS</t>
  </si>
  <si>
    <t xml:space="preserve">  6.1  CHALLENGES WHILE LOOKING FOR A JOB (Multi-select, n=929 unemployed respondents)</t>
  </si>
  <si>
    <t xml:space="preserve">Challenge</t>
  </si>
  <si>
    <t xml:space="preserve">% Unemployed</t>
  </si>
  <si>
    <t xml:space="preserve">Intervention Design</t>
  </si>
  <si>
    <t xml:space="preserve">Insufficient Salary</t>
  </si>
  <si>
    <t xml:space="preserve">Set salary benchmarks; negotiate with employers; ESIC + PF as salary substitutes</t>
  </si>
  <si>
    <t xml:space="preserve">Lack of Skills</t>
  </si>
  <si>
    <t xml:space="preserve">Core intervention — direct skilling pipeline is the solution</t>
  </si>
  <si>
    <t xml:space="preserve">Distance to Work</t>
  </si>
  <si>
    <t xml:space="preserve">Prioritize hyper-local employers; negotiate transport allowances</t>
  </si>
  <si>
    <t xml:space="preserve">Lack of Opportunities</t>
  </si>
  <si>
    <t xml:space="preserve">Activate employer network; job fair cadence; placement cell</t>
  </si>
  <si>
    <t xml:space="preserve">Speaking English</t>
  </si>
  <si>
    <t xml:space="preserve">Embed basic English communication in all courses</t>
  </si>
  <si>
    <t xml:space="preserve">Insufficient Information</t>
  </si>
  <si>
    <t xml:space="preserve">IEC campaign; WhatsApp job alerts; community notice boards</t>
  </si>
  <si>
    <t xml:space="preserve">Lack of Guidance</t>
  </si>
  <si>
    <t xml:space="preserve">Mandatory career counselling + mentorship in program design</t>
  </si>
  <si>
    <t xml:space="preserve">Time Constraints</t>
  </si>
  <si>
    <t xml:space="preserve">Flexible batch timings; evening/weekend cohorts</t>
  </si>
  <si>
    <t xml:space="preserve">Not Allowed to Work</t>
  </si>
  <si>
    <t xml:space="preserve">Family sensitization; women's empowerment framing; peer cases</t>
  </si>
  <si>
    <t xml:space="preserve">  6.2  HOW YOUTH FIND JOB INFORMATION (Multi-select)</t>
  </si>
  <si>
    <t xml:space="preserve">Information Source</t>
  </si>
  <si>
    <t xml:space="preserve">Channel Activation Opportunity</t>
  </si>
  <si>
    <t xml:space="preserve">Friends</t>
  </si>
  <si>
    <t xml:space="preserve">Peer-referral bonuses; batch cohort enrollment incentives</t>
  </si>
  <si>
    <t xml:space="preserve">Family</t>
  </si>
  <si>
    <t xml:space="preserve">Parent information nights; household-level IEC campaigns</t>
  </si>
  <si>
    <t xml:space="preserve">Online</t>
  </si>
  <si>
    <t xml:space="preserve">WhatsApp job alerts; social media content on Lighthouse program</t>
  </si>
  <si>
    <t xml:space="preserve">Skilling Institutions</t>
  </si>
  <si>
    <t xml:space="preserve">Strengthen referral partnerships; network of partner institutes</t>
  </si>
  <si>
    <t xml:space="preserve">Educational Institutions</t>
  </si>
  <si>
    <t xml:space="preserve">College placement cell integration; grad outreach</t>
  </si>
  <si>
    <t xml:space="preserve">Government Representative</t>
  </si>
  <si>
    <t xml:space="preserve">GHMC ward-level activation; government co-branding</t>
  </si>
  <si>
    <t xml:space="preserve">  6.3  WILLINGNESS TO ENROLL IN GOVERNMENT SKILLING PROGRAM (n=1,069)</t>
  </si>
  <si>
    <t xml:space="preserve">Willingness Level</t>
  </si>
  <si>
    <t xml:space="preserve">Strategic Note</t>
  </si>
  <si>
    <t xml:space="preserve">Very Willing</t>
  </si>
  <si>
    <t xml:space="preserve">Highest motivation — prioritize for first cohort</t>
  </si>
  <si>
    <t xml:space="preserve">Willing</t>
  </si>
  <si>
    <t xml:space="preserve">Majority segment — reliable pipeline with right communications</t>
  </si>
  <si>
    <t xml:space="preserve">Somewhat Willing</t>
  </si>
  <si>
    <t xml:space="preserve">Fence-sitters — need clear incentive/value communication</t>
  </si>
  <si>
    <t xml:space="preserve">Not Willing</t>
  </si>
  <si>
    <t xml:space="preserve">Non-target for short term; longitudinal tracking suggested</t>
  </si>
  <si>
    <t xml:space="preserve">  6.4  COURSE DURATION PREFERENCE</t>
  </si>
  <si>
    <t xml:space="preserve">Preferred Duration</t>
  </si>
  <si>
    <t xml:space="preserve">Program Design Note</t>
  </si>
  <si>
    <t xml:space="preserve">1 Month</t>
  </si>
  <si>
    <t xml:space="preserve">3 months is modal (40.5%) — balance depth vs. dropout risk; 1–2 months add 42.2%</t>
  </si>
  <si>
    <t xml:space="preserve">2 Months</t>
  </si>
  <si>
    <t xml:space="preserve">3 Months</t>
  </si>
  <si>
    <t xml:space="preserve">6 Months</t>
  </si>
  <si>
    <t xml:space="preserve">12 Months</t>
  </si>
  <si>
    <t xml:space="preserve">More than 12 Months</t>
  </si>
  <si>
    <t xml:space="preserve">  6.5  DAILY TIME AVAILABLE FOR SKILLING (n=932)</t>
  </si>
  <si>
    <t xml:space="preserve">Daily Time</t>
  </si>
  <si>
    <t xml:space="preserve">1 Hour</t>
  </si>
  <si>
    <t xml:space="preserve">2 Hours</t>
  </si>
  <si>
    <t xml:space="preserve">3 Hours</t>
  </si>
  <si>
    <t xml:space="preserve">4 Hours</t>
  </si>
  <si>
    <t xml:space="preserve">More than 4 Hours</t>
  </si>
  <si>
    <t xml:space="preserve">67.4% available 1–2 hours/day → Design modular 1.5–2 hr daily sessions. 91.7% willing to travel to Lighthouse for skilling.</t>
  </si>
  <si>
    <t xml:space="preserve">SECTION 7 — STRUCTURED BUDGET FRAMEWORK: LIGHTHOUSE SKILLS PROGRAM (HYDERABAD)</t>
  </si>
  <si>
    <t xml:space="preserve">Budget structured from survey data insights | Base assumptions documented | All figures in INR</t>
  </si>
  <si>
    <t xml:space="preserve">  KEY ASSUMPTIONS (Blue cells = inputs)</t>
  </si>
  <si>
    <t xml:space="preserve">Value</t>
  </si>
  <si>
    <t xml:space="preserve">Source / Basis</t>
  </si>
  <si>
    <t xml:space="preserve">Target Batch Size (per cohort)</t>
  </si>
  <si>
    <t xml:space="preserve">Standard skilling batch size; manageable for 1 trainer</t>
  </si>
  <si>
    <t xml:space="preserve">No. of Cohorts per Year (Phase 1)</t>
  </si>
  <si>
    <t xml:space="preserve">Quarterly cadence; allows quality control</t>
  </si>
  <si>
    <t xml:space="preserve">Total Trainees / Year (Phase 1)</t>
  </si>
  <si>
    <t xml:space="preserve">Auto-calculated: batches × batch size</t>
  </si>
  <si>
    <t xml:space="preserve">No. of Skilling Tracks</t>
  </si>
  <si>
    <t xml:space="preserve">Digital Marketing, Office Executive, BPO, Beauty Parlour, Fashion Design — top 5 by demand</t>
  </si>
  <si>
    <t xml:space="preserve">Average Course Duration (months)</t>
  </si>
  <si>
    <t xml:space="preserve">Modal preference from survey (40.5% preferred 3 months)</t>
  </si>
  <si>
    <t xml:space="preserve">Target Placement Rate</t>
  </si>
  <si>
    <t xml:space="preserve">70% — industry benchmark for quality programs; conservative</t>
  </si>
  <si>
    <t xml:space="preserve">Female Beneficiary Target (%)</t>
  </si>
  <si>
    <t xml:space="preserve">Based on 40% female share + 5% positive action</t>
  </si>
  <si>
    <t xml:space="preserve">Course Hours/Day</t>
  </si>
  <si>
    <t xml:space="preserve">Modal preference from survey (2 hrs/day chosen by 35.0%)</t>
  </si>
  <si>
    <t xml:space="preserve">Working Days / Month</t>
  </si>
  <si>
    <t xml:space="preserve">Standard working month</t>
  </si>
  <si>
    <t xml:space="preserve">Trainer Cost / Month (₹)</t>
  </si>
  <si>
    <t xml:space="preserve">Market rate for skilled vocational trainer in Hyderabad</t>
  </si>
  <si>
    <t xml:space="preserve">Venue Rent / Month (₹)</t>
  </si>
  <si>
    <t xml:space="preserve">Co-share; municipal facility support likely; partially subsidized</t>
  </si>
  <si>
    <t xml:space="preserve">Equipment Amortization / Month (₹)</t>
  </si>
  <si>
    <t xml:space="preserve">PCs, printers, beauty equipment — 3-yr amortization</t>
  </si>
  <si>
    <t xml:space="preserve">Coordinator Salary / Month (₹)</t>
  </si>
  <si>
    <t xml:space="preserve">Program manager mid-level</t>
  </si>
  <si>
    <t xml:space="preserve">Per Trainee Stipend / Month (₹)</t>
  </si>
  <si>
    <t xml:space="preserve">Incentive retention; ~10% of modal salary expectation</t>
  </si>
  <si>
    <t xml:space="preserve">Marketing / IEC Cost / Quarter (₹)</t>
  </si>
  <si>
    <t xml:space="preserve">Community mobilization, banners, WhatsApp campaigns</t>
  </si>
  <si>
    <t xml:space="preserve">  ANNUAL OPERATING BUDGET — LIGHTHOUSE SKILLS PROGRAM (Phase 1: 1 Year)</t>
  </si>
  <si>
    <t xml:space="preserve">Category</t>
  </si>
  <si>
    <t xml:space="preserve">Line Item</t>
  </si>
  <si>
    <t xml:space="preserve">Unit Cost (₹)</t>
  </si>
  <si>
    <t xml:space="preserve">Units / Year</t>
  </si>
  <si>
    <t xml:space="preserve">Annual Cost (₹)</t>
  </si>
  <si>
    <t xml:space="preserve">% Budget</t>
  </si>
  <si>
    <t xml:space="preserve">Human Resources</t>
  </si>
  <si>
    <t xml:space="preserve">Head Trainer (1 FTE)</t>
  </si>
  <si>
    <t xml:space="preserve">Market rate trainer; vocational certified</t>
  </si>
  <si>
    <t xml:space="preserve">Assistant Trainer / Coordinator (1 FTE)</t>
  </si>
  <si>
    <t xml:space="preserve">Program management + trainee support</t>
  </si>
  <si>
    <t xml:space="preserve">Placement Officer (0.5 FTE)</t>
  </si>
  <si>
    <t xml:space="preserve">Dedicated employer relationship + placement</t>
  </si>
  <si>
    <t xml:space="preserve">Community Mobilizer (1 FTE)</t>
  </si>
  <si>
    <t xml:space="preserve">IEC + enrollment + dropout prevention</t>
  </si>
  <si>
    <t xml:space="preserve">Infrastructure</t>
  </si>
  <si>
    <t xml:space="preserve">Venue Rent (Lighthouse co-share)</t>
  </si>
  <si>
    <t xml:space="preserve">Municipal space; subsidized rate assumed</t>
  </si>
  <si>
    <t xml:space="preserve">Utilities (Electricity, Internet, Water)</t>
  </si>
  <si>
    <t xml:space="preserve">Based on ~2hr/day, 5 days/week, 30-seat class</t>
  </si>
  <si>
    <t xml:space="preserve">Equipment Amortization (IT + Vocational)</t>
  </si>
  <si>
    <t xml:space="preserve">PCs, printers, beauty kits, sewing machines</t>
  </si>
  <si>
    <t xml:space="preserve">Materials</t>
  </si>
  <si>
    <t xml:space="preserve">Training Materials per Trainee</t>
  </si>
  <si>
    <t xml:space="preserve">Workbooks, stationery, kits — ₹500/trainee</t>
  </si>
  <si>
    <t xml:space="preserve">Certificates &amp; Assessments</t>
  </si>
  <si>
    <t xml:space="preserve">Per trainee completion + assessment</t>
  </si>
  <si>
    <t xml:space="preserve">Trainee Support</t>
  </si>
  <si>
    <t xml:space="preserve">Trainee Stipend</t>
  </si>
  <si>
    <t xml:space="preserve">₹1,500/month × 3 months × all trainees</t>
  </si>
  <si>
    <t xml:space="preserve">Travel Allowance (partial)</t>
  </si>
  <si>
    <t xml:space="preserve">₹500 one-time, for initial months; not monthly</t>
  </si>
  <si>
    <t xml:space="preserve">Marketing &amp; IEC</t>
  </si>
  <si>
    <t xml:space="preserve">Community Outreach &amp; Mobilization</t>
  </si>
  <si>
    <t xml:space="preserve">Banners, WhatsApp, ward meetings, quarterly</t>
  </si>
  <si>
    <t xml:space="preserve">Digital Content (social media)</t>
  </si>
  <si>
    <t xml:space="preserve">Instagram/WhatsApp campaign; quarterly refresh</t>
  </si>
  <si>
    <t xml:space="preserve">Placement</t>
  </si>
  <si>
    <t xml:space="preserve">Employer Engagement Events (2/year)</t>
  </si>
  <si>
    <t xml:space="preserve">Hiring fairs at Lighthouse; logistics + printing</t>
  </si>
  <si>
    <t xml:space="preserve">Background Verification per Placed Trainee</t>
  </si>
  <si>
    <t xml:space="preserve">Third-party BVG for placed candidates only</t>
  </si>
  <si>
    <t xml:space="preserve">M&amp;E</t>
  </si>
  <si>
    <t xml:space="preserve">Data Collection &amp; Reporting Tools</t>
  </si>
  <si>
    <t xml:space="preserve">KoboToolbox pro license or equivalent</t>
  </si>
  <si>
    <t xml:space="preserve">External Evaluation (Annual)</t>
  </si>
  <si>
    <t xml:space="preserve">Third-party outcome assessment</t>
  </si>
  <si>
    <t xml:space="preserve">SUBTOTAL (Before Contingency)</t>
  </si>
  <si>
    <t xml:space="preserve">Contingency</t>
  </si>
  <si>
    <t xml:space="preserve">5% buffer per standard NGO budgeting practice</t>
  </si>
  <si>
    <t xml:space="preserve">TOTAL ANNUAL BUDGET (Phase 1)</t>
  </si>
  <si>
    <t xml:space="preserve">Cost per Trainee</t>
  </si>
  <si>
    <t xml:space="preserve">  BUDGET CATEGORY SUMMARY</t>
  </si>
  <si>
    <t xml:space="preserve">Annual Total (₹)</t>
  </si>
  <si>
    <t xml:space="preserve">% of Total Budget</t>
  </si>
  <si>
    <t xml:space="preserve">Rationale</t>
  </si>
  <si>
    <t xml:space="preserve">Trainer + coordinator + placement officer + mobilizer; 4 FTEs</t>
  </si>
  <si>
    <t xml:space="preserve">Venue, utilities, equipment amortization</t>
  </si>
  <si>
    <t xml:space="preserve">Per-trainee training materials and assessment</t>
  </si>
  <si>
    <t xml:space="preserve">Stipend + travel allowance to reduce dropout rate</t>
  </si>
  <si>
    <t xml:space="preserve">Enrollment drive + digital content; quarterly refresh</t>
  </si>
  <si>
    <t xml:space="preserve">Employer engagement + placement verification</t>
  </si>
  <si>
    <t xml:space="preserve">Data systems + external evaluation for donor reporting</t>
  </si>
  <si>
    <t xml:space="preserve">  SCALING ASSUMPTIONS (Phase 2 &amp; 3 Projections)</t>
  </si>
  <si>
    <t xml:space="preserve">Phase 1 (Yr 1)</t>
  </si>
  <si>
    <t xml:space="preserve">Phase 2 (Yr 2)</t>
  </si>
  <si>
    <t xml:space="preserve">Phase 3 (Yr 3)</t>
  </si>
  <si>
    <t xml:space="preserve">Assumption</t>
  </si>
  <si>
    <t xml:space="preserve">Cohorts / Year</t>
  </si>
  <si>
    <t xml:space="preserve">+2 cohorts/year as capacity builds</t>
  </si>
  <si>
    <t xml:space="preserve">Trainees / Year</t>
  </si>
  <si>
    <t xml:space="preserve">Linear scale with cohorts</t>
  </si>
  <si>
    <t xml:space="preserve">Skilling Tracks Offered</t>
  </si>
  <si>
    <t xml:space="preserve">Add Health, IT, Logistics tracks in Year 2+</t>
  </si>
  <si>
    <t xml:space="preserve">70%</t>
  </si>
  <si>
    <t xml:space="preserve">75%</t>
  </si>
  <si>
    <t xml:space="preserve">80%</t>
  </si>
  <si>
    <t xml:space="preserve">Improvement as employer network matures</t>
  </si>
  <si>
    <t xml:space="preserve">Estimated Budget (₹ Lakhs)</t>
  </si>
  <si>
    <t xml:space="preserve">~14–16L</t>
  </si>
  <si>
    <t xml:space="preserve">~20–22L</t>
  </si>
  <si>
    <t xml:space="preserve">~26–28L</t>
  </si>
  <si>
    <t xml:space="preserve">~30% cost increase per phase due to staffing + track additions</t>
  </si>
  <si>
    <t xml:space="preserve">Cost per Trainee (₹)</t>
  </si>
  <si>
    <t xml:space="preserve">~11,500</t>
  </si>
  <si>
    <t xml:space="preserve">~11,000</t>
  </si>
  <si>
    <t xml:space="preserve">~10,800</t>
  </si>
  <si>
    <t xml:space="preserve">Economies of scale as fixed costs spread over more trainees</t>
  </si>
  <si>
    <t xml:space="preserve">SECTION 8 — DATA QUALITY ASSESSMENT, METHODOLOGY &amp; COLUMN DEFINITIONS</t>
  </si>
  <si>
    <t xml:space="preserve">  8.1  DATA QUALITY SUMMARY</t>
  </si>
  <si>
    <t xml:space="preserve">Assessment</t>
  </si>
  <si>
    <t xml:space="preserve">Total Raw Rows</t>
  </si>
  <si>
    <t xml:space="preserve">1,612</t>
  </si>
  <si>
    <t xml:space="preserve">Includes valid + blank/metadata rows</t>
  </si>
  <si>
    <t xml:space="preserve">Valid Respondent Rows</t>
  </si>
  <si>
    <t xml:space="preserve">77.8% usable — 22.2% are blank rows from form structure</t>
  </si>
  <si>
    <t xml:space="preserve">Blank / Metadata Rows</t>
  </si>
  <si>
    <t xml:space="preserve">358</t>
  </si>
  <si>
    <t xml:space="preserve">Likely survey instrument version rows or null submissions — confirmed via gender NaN</t>
  </si>
  <si>
    <t xml:space="preserve">Duplicate Records (UUID Check)</t>
  </si>
  <si>
    <t xml:space="preserve">0</t>
  </si>
  <si>
    <t xml:space="preserve">All _uuid values are unique — no duplicate submissions detected</t>
  </si>
  <si>
    <t xml:space="preserve">Total Columns</t>
  </si>
  <si>
    <t xml:space="preserve">232</t>
  </si>
  <si>
    <t xml:space="preserve">Includes demographic, multi-select, GPS, metadata columns</t>
  </si>
  <si>
    <t xml:space="preserve">Columns with 100% Null (Valid Rows)</t>
  </si>
  <si>
    <t xml:space="preserve">_validation_status, _tags, _notes, 3× "If other specify" variants — structural empties, not data loss</t>
  </si>
  <si>
    <t xml:space="preserve">Columns with &gt;80% Null</t>
  </si>
  <si>
    <t xml:space="preserve">~35</t>
  </si>
  <si>
    <t xml:space="preserve">Predominantly "If other, specify" free-text fields — expected for conditional questions</t>
  </si>
  <si>
    <t xml:space="preserve">Community Naming Inconsistency</t>
  </si>
  <si>
    <t xml:space="preserve">High</t>
  </si>
  <si>
    <t xml:space="preserve">228 unique raw values for ~30 real communities; standardization applied in analysis</t>
  </si>
  <si>
    <t xml:space="preserve">Surveyor Name Inconsistency</t>
  </si>
  <si>
    <t xml:space="preserve">Moderate</t>
  </si>
  <si>
    <t xml:space="preserve">76 raw surveyor entries with case + spelling variants; groupable by name similarity</t>
  </si>
  <si>
    <t xml:space="preserve">Age Range Compliance</t>
  </si>
  <si>
    <t xml:space="preserve">Full</t>
  </si>
  <si>
    <t xml:space="preserve">All valid respondents: min=18, max=35 — survey filter working correctly</t>
  </si>
  <si>
    <t xml:space="preserve">GPS Coverage</t>
  </si>
  <si>
    <t xml:space="preserve">Partial</t>
  </si>
  <si>
    <t xml:space="preserve">Lat/Long available for ~60% of records; altitude/precision show expected outdoor survey readings</t>
  </si>
  <si>
    <t xml:space="preserve">Survey Period Anomalies</t>
  </si>
  <si>
    <t xml:space="preserve">All timestamps within Feb 5–18, 2026 window; no time-zone anomalies detected</t>
  </si>
  <si>
    <t xml:space="preserve">  8.2  KEY COLUMN REGISTER (Core Analytical Variables)</t>
  </si>
  <si>
    <t xml:space="preserve">Column Name</t>
  </si>
  <si>
    <t xml:space="preserve">Type</t>
  </si>
  <si>
    <t xml:space="preserve">Values / Range</t>
  </si>
  <si>
    <t xml:space="preserve">Role in Analysis</t>
  </si>
  <si>
    <t xml:space="preserve">Q.1 Community</t>
  </si>
  <si>
    <t xml:space="preserve">Categorical (dirty)</t>
  </si>
  <si>
    <t xml:space="preserve">Free text ~228 raw variants</t>
  </si>
  <si>
    <t xml:space="preserve">Geographic segmentation; requires standardization</t>
  </si>
  <si>
    <t xml:space="preserve">Q.7 Age</t>
  </si>
  <si>
    <t xml:space="preserve">Numeric</t>
  </si>
  <si>
    <t xml:space="preserve">18–35 (enforced by filter)</t>
  </si>
  <si>
    <t xml:space="preserve">Age group segmentation; mean=24.4, median=24</t>
  </si>
  <si>
    <t xml:space="preserve">Q.8 Gender</t>
  </si>
  <si>
    <t xml:space="preserve">Binary Categorical</t>
  </si>
  <si>
    <t xml:space="preserve">Male / Female</t>
  </si>
  <si>
    <t xml:space="preserve">Primary stratifier for gender disaggregation</t>
  </si>
  <si>
    <t xml:space="preserve">Q.11 Religion</t>
  </si>
  <si>
    <t xml:space="preserve">Categorical</t>
  </si>
  <si>
    <t xml:space="preserve">Hindu/Muslim/Christian/Other</t>
  </si>
  <si>
    <t xml:space="preserve">Social context; OBC/SC/ST analysis paired with Q.12</t>
  </si>
  <si>
    <t xml:space="preserve">Q.12 Caste</t>
  </si>
  <si>
    <t xml:space="preserve">OBC/SC-ST/General/Other/DK/DNA</t>
  </si>
  <si>
    <t xml:space="preserve">Welfare targeting; 79.8% OBC+SC/ST</t>
  </si>
  <si>
    <t xml:space="preserve">Q.15 Education Status</t>
  </si>
  <si>
    <t xml:space="preserve">Currently Pursuing / Not Pursuing / DNA</t>
  </si>
  <si>
    <t xml:space="preserve">Identifies active students vs. job seekers</t>
  </si>
  <si>
    <t xml:space="preserve">Q.16 Education Level</t>
  </si>
  <si>
    <t xml:space="preserve">Ordinal</t>
  </si>
  <si>
    <t xml:space="preserve">10 levels from no education to PG</t>
  </si>
  <si>
    <t xml:space="preserve">Education profiling; key driver of salary expectations</t>
  </si>
  <si>
    <t xml:space="preserve">Q.18 Vocational Awareness</t>
  </si>
  <si>
    <t xml:space="preserve">Binary</t>
  </si>
  <si>
    <t xml:space="preserve">Yes / No / DNA</t>
  </si>
  <si>
    <t xml:space="preserve">Measures information access gap</t>
  </si>
  <si>
    <t xml:space="preserve">Q.19 Vocational Enrollment</t>
  </si>
  <si>
    <t xml:space="preserve">Direct skilling baseline (7.5% enrolled)</t>
  </si>
  <si>
    <t xml:space="preserve">Q.29 HH Monthly Income</t>
  </si>
  <si>
    <t xml:space="preserve">Ordinal bands</t>
  </si>
  <si>
    <t xml:space="preserve">Upto ₹5K – ₹35K+</t>
  </si>
  <si>
    <t xml:space="preserve">Household economic status; proxy for poverty level</t>
  </si>
  <si>
    <t xml:space="preserve">Q.32 Employment Status</t>
  </si>
  <si>
    <t xml:space="preserve">Employed / Unemp-Willing / Unemp-Unwilling / DNA</t>
  </si>
  <si>
    <t xml:space="preserve">Core outcome variable for program targeting</t>
  </si>
  <si>
    <t xml:space="preserve">Q.36 Individual Income</t>
  </si>
  <si>
    <t xml:space="preserve">For employed only; n=282; salary trajectory</t>
  </si>
  <si>
    <t xml:space="preserve">Q.44 Job Challenges</t>
  </si>
  <si>
    <t xml:space="preserve">Multi-select</t>
  </si>
  <si>
    <t xml:space="preserve">13 options</t>
  </si>
  <si>
    <t xml:space="preserve">Barrier analysis; program design input</t>
  </si>
  <si>
    <t xml:space="preserve">Q.50 Job Aspirations</t>
  </si>
  <si>
    <t xml:space="preserve">Multi-select (≤3)</t>
  </si>
  <si>
    <t xml:space="preserve">18 roles</t>
  </si>
  <si>
    <t xml:space="preserve">Placement target mapping; sector demand signal</t>
  </si>
  <si>
    <t xml:space="preserve">Q.51 Salary Expectations</t>
  </si>
  <si>
    <t xml:space="preserve">₹&lt;10K – ₹25K+</t>
  </si>
  <si>
    <t xml:space="preserve">Mismatch analysis vs. market rates</t>
  </si>
  <si>
    <t xml:space="preserve">Q.54 Skill Program Willingness</t>
  </si>
  <si>
    <t xml:space="preserve">4 levels</t>
  </si>
  <si>
    <t xml:space="preserve">Pipeline estimation; enrollment projection</t>
  </si>
  <si>
    <t xml:space="preserve">Q.55 Course Preference</t>
  </si>
  <si>
    <t xml:space="preserve">12 courses</t>
  </si>
  <si>
    <t xml:space="preserve">Curriculum design input; demand prioritization</t>
  </si>
  <si>
    <t xml:space="preserve">Q.56 Course Duration</t>
  </si>
  <si>
    <t xml:space="preserve">1M–12M+</t>
  </si>
  <si>
    <t xml:space="preserve">Program design: 3-month modal</t>
  </si>
  <si>
    <t xml:space="preserve">Q.57 Daily Time Available</t>
  </si>
  <si>
    <t xml:space="preserve">1–4+ hrs</t>
  </si>
  <si>
    <t xml:space="preserve">Scheduling design: 1–2 hr sessions optimal</t>
  </si>
  <si>
    <t xml:space="preserve">Q.58 Travel to Lighthouse</t>
  </si>
  <si>
    <t xml:space="preserve">Yes / No</t>
  </si>
  <si>
    <t xml:space="preserve">Confirms Lighthouse as valid delivery node</t>
  </si>
  <si>
    <t xml:space="preserve">_uuid</t>
  </si>
  <si>
    <t xml:space="preserve">Text (unique ID)</t>
  </si>
  <si>
    <t xml:space="preserve">36-char UUID</t>
  </si>
  <si>
    <t xml:space="preserve">Primary key; 0 duplicates verified</t>
  </si>
  <si>
    <t xml:space="preserve">start / end</t>
  </si>
  <si>
    <t xml:space="preserve">Datetime</t>
  </si>
  <si>
    <t xml:space="preserve">Feb 5–18, 2026</t>
  </si>
  <si>
    <t xml:space="preserve">Survey timestamp; quality control</t>
  </si>
  <si>
    <t xml:space="preserve">  8.3  ANALYTICAL METHODOLOGY</t>
  </si>
  <si>
    <t xml:space="preserve">Item</t>
  </si>
  <si>
    <t xml:space="preserve">Scope Filter</t>
  </si>
  <si>
    <t xml:space="preserve">Analysis restricted to 1,254 valid respondents (Q.8 Gender is not null). 358 blank rows excluded as structural survey form artifacts.</t>
  </si>
  <si>
    <t xml:space="preserve">Community Standardization</t>
  </si>
  <si>
    <t xml:space="preserve">String matching applied to consolidate ~228 raw community variants into ~30 canonical names. Regex rules cover Borabanda/Borrabanda/Barobanda, Rajiv/Rajeev Gandhi Nagar, Site 3/Sit3, etc.</t>
  </si>
  <si>
    <t xml:space="preserve">Multi-select Handling</t>
  </si>
  <si>
    <t xml:space="preserve">Questions 10, 31, 37, 41, 43, 44, 50, 52, 55 use binary (0/1) columns per option. Sum across binary columns gives mention count. Percentages computed against responding n (not total N).</t>
  </si>
  <si>
    <t xml:space="preserve">Missing Data Treatment</t>
  </si>
  <si>
    <t xml:space="preserve">DNA (Don't want to answer) and DK (Don't know) responses excluded from percentage denominators in all analysis tables. Noted explicitly where exclusion affects interpretation.</t>
  </si>
  <si>
    <t xml:space="preserve">Employment Split</t>
  </si>
  <si>
    <t xml:space="preserve">Respondents split into 3 operational segments: Employed (n=288), Unemployed-Willing (n=781), Unemployed-Unwilling (n=148). DNA (n=37) excluded from segment analysis.</t>
  </si>
  <si>
    <t xml:space="preserve">Budget Framework</t>
  </si>
  <si>
    <t xml:space="preserve">Budget constructed from first-principles using demand signals (skilling preferences, batch sizes, duration preferences) mapped to standard NGO/social-enterprise cost structures. Figures are indicative; actual costs require local procurement validation.</t>
  </si>
  <si>
    <t xml:space="preserve">Descriptive vs. Inferential</t>
  </si>
  <si>
    <t xml:space="preserve">All analysis is descriptive/exploratory. No hypothesis testing applied given the cross-sectional, convenience-sampled nature of the survey. Findings should be used for program design, not generalizable inference.</t>
  </si>
  <si>
    <t xml:space="preserve">SECTION 9 — STRATEGIC RECOMMENDATIONS &amp; PROGRAM DESIGN BLUEPRINT</t>
  </si>
  <si>
    <t xml:space="preserve">  TIER 1 — IMMEDIATE ACTIONS (0–3 Months)</t>
  </si>
  <si>
    <t xml:space="preserve">Recommendation</t>
  </si>
  <si>
    <t xml:space="preserve">Evidence Base</t>
  </si>
  <si>
    <t xml:space="preserve">Responsible</t>
  </si>
  <si>
    <t xml:space="preserve">KPI</t>
  </si>
  <si>
    <t xml:space="preserve">Launch Digital Marketing + Office Executive batch immediately</t>
  </si>
  <si>
    <t xml:space="preserve">2 highest-demand skilling courses (339+327 mentions); aligned to BPO/admin placements available locally</t>
  </si>
  <si>
    <t xml:space="preserve">Program Team</t>
  </si>
  <si>
    <t xml:space="preserve">Batch filled (30 trainees) within 2 weeks of launch</t>
  </si>
  <si>
    <t xml:space="preserve">Deploy WhatsApp-based IEC campaign in all 30+ communities</t>
  </si>
  <si>
    <t xml:space="preserve">55.8% unaware of vocational options; Friends (761) and Online (529) are top info channels — WhatsApp reaches both</t>
  </si>
  <si>
    <t xml:space="preserve">Mobilizer + Comms</t>
  </si>
  <si>
    <t xml:space="preserve">500+ unique WhatsApp message deliveries in Week 1</t>
  </si>
  <si>
    <t xml:space="preserve">Map top 10 employers within 5km of Lighthouse (BPO, retail, hospitals)</t>
  </si>
  <si>
    <t xml:space="preserve">Job location is 4th most critical factor; 62.3% want ≤60min travel; Borabanda has BPO + retail density</t>
  </si>
  <si>
    <t xml:space="preserve">Placement Officer</t>
  </si>
  <si>
    <t xml:space="preserve">10 employer MOUs signed before batch completion</t>
  </si>
  <si>
    <t xml:space="preserve">Conduct parent/household orientation for first cohort</t>
  </si>
  <si>
    <t xml:space="preserve">Parents' desire is a job factor (130 mentions); "Not allowed to work" affects 71 respondents (5.7% unemployed)</t>
  </si>
  <si>
    <t xml:space="preserve">Community Mobilizer</t>
  </si>
  <si>
    <t xml:space="preserve">80%+ parent attendance at orientation session</t>
  </si>
  <si>
    <t xml:space="preserve">Set up basic English communication module as embedded component</t>
  </si>
  <si>
    <t xml:space="preserve">Speaking English is 4th largest job challenge (300 mentions = 32.3% of unemployed)</t>
  </si>
  <si>
    <t xml:space="preserve">Trainer</t>
  </si>
  <si>
    <t xml:space="preserve">English module embedded in 100% of tracks from Day 1</t>
  </si>
  <si>
    <t xml:space="preserve">  TIER 2 — MEDIUM-TERM ACTIONS (3–6 Months)</t>
  </si>
  <si>
    <t xml:space="preserve">Add Beauty Parlour + Fashion Designing tracks for female cohort</t>
  </si>
  <si>
    <t xml:space="preserve">Beauty Parlour (229) + Fashion Designing (216) are top female preferences; 40% female respondents need gender-appropriate pathways</t>
  </si>
  <si>
    <t xml:space="preserve">≥60% female enrollment in these tracks; 70%+ placement within 60 days post-course</t>
  </si>
  <si>
    <t xml:space="preserve">Build placement scorecard tracking employer-wise placement quality</t>
  </si>
  <si>
    <t xml:space="preserve">46.5% of employed youth receive NO employment benefits; need formal sector employer pipeline</t>
  </si>
  <si>
    <t xml:space="preserve">Monthly scorecard; ≥50% placed trainees in ESI+PF-compliant roles</t>
  </si>
  <si>
    <t xml:space="preserve">Introduce career counselling as Week 1 mandatory module</t>
  </si>
  <si>
    <t xml:space="preserve">76.8% found counselling useful among those who received it; but only 15.1% of all youth have been counselled</t>
  </si>
  <si>
    <t xml:space="preserve">Trainer + External Counsellor</t>
  </si>
  <si>
    <t xml:space="preserve">100% trainees receive structured counselling by end of Week 1</t>
  </si>
  <si>
    <t xml:space="preserve">Launch BPO/KPO track with dedicated English + typing component</t>
  </si>
  <si>
    <t xml:space="preserve">BPO/KPO is 5th job aspiration (182 mentions); Rs.15–20K entry salary aligned to 22% expectation segment</t>
  </si>
  <si>
    <t xml:space="preserve">1 BPO hiring partner signed; first batch hired within 45 days of course end</t>
  </si>
  <si>
    <t xml:space="preserve">Implement peer ambassador scheme for enrollment drives</t>
  </si>
  <si>
    <t xml:space="preserve">Friends (61%) is the #1 job info channel; peer-driven enrollment is most trusted channel</t>
  </si>
  <si>
    <t xml:space="preserve">1 ambassador per community (30 ambassadors); 20+ referrals each per quarter</t>
  </si>
  <si>
    <t xml:space="preserve">  TIER 3 — STRATEGIC / LONG-TERM (6–18 Months)</t>
  </si>
  <si>
    <t xml:space="preserve">11</t>
  </si>
  <si>
    <t xml:space="preserve">Expand to IT tracks (Python, Java) for higher-income job aspirants</t>
  </si>
  <si>
    <t xml:space="preserve">IT sector: 206 job aspiration mentions; Python (135) + Java (132) preferences signal market-aware youth; Rs.25K+ salary aligns to Graduation cohort (20.3%)</t>
  </si>
  <si>
    <t xml:space="preserve">Program Team + IT partner</t>
  </si>
  <si>
    <t xml:space="preserve">1 dedicated IT track per year; ≥30% placed in IT roles within 6 months</t>
  </si>
  <si>
    <t xml:space="preserve">12</t>
  </si>
  <si>
    <t xml:space="preserve">Establish Lighthouse as multi-community employment hub (not just Borabanda)</t>
  </si>
  <si>
    <t xml:space="preserve">91.7% willing to travel to Lighthouse; serves Rajiv Gandhi Nagar, Site 3, Mothi Nagar simultaneously — economies of density</t>
  </si>
  <si>
    <t xml:space="preserve">Management + GHMC</t>
  </si>
  <si>
    <t xml:space="preserve">Formally recognized as GHMC Skill Hub; MOU with municipal corporation</t>
  </si>
  <si>
    <t xml:space="preserve">13</t>
  </si>
  <si>
    <t xml:space="preserve">Build salary expectation alignment curriculum module</t>
  </si>
  <si>
    <t xml:space="preserve">35.4% expect &gt;₹25K; modal starting salary for trained youth is ₹15–20K; misalignment will cause dropout and dissatisfaction</t>
  </si>
  <si>
    <t xml:space="preserve">Counsellor + Trainer</t>
  </si>
  <si>
    <t xml:space="preserve">Pre-post survey: ≥70% trainees demonstrate realistic salary understanding at program exit</t>
  </si>
  <si>
    <t xml:space="preserve">14</t>
  </si>
  <si>
    <t xml:space="preserve">Longitudinal tracking: 6-month and 12-month employment follow-up</t>
  </si>
  <si>
    <t xml:space="preserve">Current dataset is point-in-time; sustainable program needs retention, earnings progression, and benefit uptake data</t>
  </si>
  <si>
    <t xml:space="preserve">M&amp;E Officer</t>
  </si>
  <si>
    <t xml:space="preserve">80%+ contact rate at 6-month follow-up; employment outcome tracking dashboard live</t>
  </si>
  <si>
    <t xml:space="preserve">15</t>
  </si>
  <si>
    <t xml:space="preserve">Explore NREGA + Telangana skilling scheme funding integration</t>
  </si>
  <si>
    <t xml:space="preserve">Q.43: only ~6 respondents receive govt assistance — massive under-penetration of existing schemes; integration could 10x financial sustainability</t>
  </si>
  <si>
    <t xml:space="preserve">Program Director + Govt Liaison</t>
  </si>
  <si>
    <t xml:space="preserve">At least 1 active government co-funding arrangement within Year 1</t>
  </si>
  <si>
    <t xml:space="preserve">  PROGRAM SUCCESS METRICS DASHBOARD</t>
  </si>
  <si>
    <t xml:space="preserve">Baseline (Survey)</t>
  </si>
  <si>
    <t xml:space="preserve">Year 1 Target</t>
  </si>
  <si>
    <t xml:space="preserve">Year 2 Target</t>
  </si>
  <si>
    <t xml:space="preserve">Measurement Method</t>
  </si>
  <si>
    <t xml:space="preserve">Vocational Training Enrollment Rate</t>
  </si>
  <si>
    <t xml:space="preserve">7.5% (94/1,254)</t>
  </si>
  <si>
    <t xml:space="preserve">25%+ of eligible youth</t>
  </si>
  <si>
    <t xml:space="preserve">40%+</t>
  </si>
  <si>
    <t xml:space="preserve">Admin: enrollment register + survey repeat</t>
  </si>
  <si>
    <t xml:space="preserve">Skilling Awareness Rate</t>
  </si>
  <si>
    <t xml:space="preserve">35.2% (441/1,254)</t>
  </si>
  <si>
    <t xml:space="preserve">60%</t>
  </si>
  <si>
    <t xml:space="preserve">Quarterly IEC reach survey in communities</t>
  </si>
  <si>
    <t xml:space="preserve">Placement Rate (30-day post-course)</t>
  </si>
  <si>
    <t xml:space="preserve">Baseline: N/A</t>
  </si>
  <si>
    <t xml:space="preserve">65%</t>
  </si>
  <si>
    <t xml:space="preserve">Exit + placement tracking database</t>
  </si>
  <si>
    <t xml:space="preserve">Formal Employment Benefits Coverage</t>
  </si>
  <si>
    <t xml:space="preserve">53.5% get some benefit</t>
  </si>
  <si>
    <t xml:space="preserve">70%+ placed in ESI+PF role</t>
  </si>
  <si>
    <t xml:space="preserve">Employer verification + trainee self-report</t>
  </si>
  <si>
    <t xml:space="preserve">Average Starting Salary (Placed)</t>
  </si>
  <si>
    <t xml:space="preserve">₹15,000–₹18,000/month</t>
  </si>
  <si>
    <t xml:space="preserve">₹16,000–₹20,000</t>
  </si>
  <si>
    <t xml:space="preserve">Monthly payslip verification at 3-month</t>
  </si>
  <si>
    <t xml:space="preserve">Female Beneficiary Share</t>
  </si>
  <si>
    <t xml:space="preserve">40.0% (survey)</t>
  </si>
  <si>
    <t xml:space="preserve">≥45%</t>
  </si>
  <si>
    <t xml:space="preserve">≥50%</t>
  </si>
  <si>
    <t xml:space="preserve">Enrollment register; gender disaggregated</t>
  </si>
  <si>
    <t xml:space="preserve">Career Counselling Coverage</t>
  </si>
  <si>
    <t xml:space="preserve">15.1% (190/1,254)</t>
  </si>
  <si>
    <t xml:space="preserve">100% of enrollees</t>
  </si>
  <si>
    <t xml:space="preserve">100% + community</t>
  </si>
  <si>
    <t xml:space="preserve">Trainer log + counsellor session record</t>
  </si>
  <si>
    <t xml:space="preserve">Parent Engagement Rate</t>
  </si>
  <si>
    <t xml:space="preserve">Not tracked</t>
  </si>
  <si>
    <t xml:space="preserve">75% of trainee families</t>
  </si>
  <si>
    <t xml:space="preserve">Attendance register at orientation</t>
  </si>
  <si>
    <t xml:space="preserve">Cost per Successful Placement</t>
  </si>
  <si>
    <t xml:space="preserve">≤₹16,500</t>
  </si>
  <si>
    <t xml:space="preserve">≤₹15,000</t>
  </si>
  <si>
    <t xml:space="preserve">Budget tracker ÷ placed trainees count</t>
  </si>
  <si>
    <t xml:space="preserve">90-day Employment Retention</t>
  </si>
  <si>
    <t xml:space="preserve">85%</t>
  </si>
  <si>
    <t xml:space="preserve">Trainee follow-up call at 90 days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</si>
</sst>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@"/>
    <numFmt numFmtId="168" formatCode="0%"/>
    <numFmt numFmtId="169" formatCode="\₹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17375E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2F2F2"/>
      </patternFill>
    </fill>
    <fill>
      <patternFill patternType="solid">
        <fgColor rgb="FFFFFF99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7375E"/>
      <rgbColor rgb="FF339966"/>
      <rgbColor rgb="FF003300"/>
      <rgbColor rgb="FF444444"/>
      <rgbColor rgb="FF993300"/>
      <rgbColor rgb="FF993366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13" min="5" style="1" width="10"/>
  </cols>
  <sheetData>
    <row r="1" customFormat="false" ht="7.5" hidden="false" customHeight="true" outlineLevel="0" collapsed="false"/>
    <row r="2" customFormat="false" ht="49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7.5" hidden="false" customHeight="true" outlineLevel="0" collapsed="false"/>
    <row r="5" customFormat="false" ht="7.5" hidden="false" customHeight="true" outlineLevel="0" collapsed="false"/>
    <row r="6" customFormat="false" ht="12" hidden="false" customHeight="true" outlineLevel="0" collapsed="false"/>
    <row r="7" customFormat="false" ht="15" hidden="false" customHeight="true" outlineLevel="0" collapsed="false">
      <c r="A7" s="4" t="s">
        <v>2</v>
      </c>
      <c r="B7" s="4"/>
      <c r="C7" s="4"/>
      <c r="D7" s="4"/>
      <c r="E7" s="4"/>
      <c r="F7" s="5" t="s">
        <v>3</v>
      </c>
      <c r="G7" s="5"/>
      <c r="H7" s="5"/>
      <c r="I7" s="5"/>
      <c r="J7" s="5"/>
      <c r="K7" s="6" t="s">
        <v>4</v>
      </c>
      <c r="L7" s="6"/>
      <c r="M7" s="6"/>
    </row>
    <row r="8" customFormat="false" ht="15" hidden="false" customHeight="true" outlineLevel="0" collapsed="false">
      <c r="A8" s="4"/>
      <c r="B8" s="4"/>
      <c r="C8" s="4"/>
      <c r="D8" s="4"/>
      <c r="E8" s="4"/>
      <c r="F8" s="5"/>
      <c r="G8" s="5"/>
      <c r="H8" s="5"/>
      <c r="I8" s="5"/>
      <c r="J8" s="5"/>
      <c r="K8" s="6"/>
      <c r="L8" s="6"/>
      <c r="M8" s="6"/>
    </row>
    <row r="9" customFormat="false" ht="15" hidden="false" customHeight="true" outlineLevel="0" collapsed="false">
      <c r="A9" s="4"/>
      <c r="B9" s="4"/>
      <c r="C9" s="4"/>
      <c r="D9" s="4"/>
      <c r="E9" s="4"/>
      <c r="F9" s="5"/>
      <c r="G9" s="5"/>
      <c r="H9" s="5"/>
      <c r="I9" s="5"/>
      <c r="J9" s="5"/>
      <c r="K9" s="6"/>
      <c r="L9" s="6"/>
      <c r="M9" s="6"/>
    </row>
    <row r="10" customFormat="false" ht="15" hidden="false" customHeight="true" outlineLevel="0" collapsed="false">
      <c r="A10" s="7" t="s">
        <v>5</v>
      </c>
      <c r="B10" s="7"/>
      <c r="C10" s="7"/>
      <c r="D10" s="7"/>
      <c r="E10" s="7"/>
      <c r="F10" s="7" t="s">
        <v>6</v>
      </c>
      <c r="G10" s="7"/>
      <c r="H10" s="7"/>
      <c r="I10" s="7"/>
      <c r="J10" s="7"/>
      <c r="K10" s="7" t="s">
        <v>7</v>
      </c>
      <c r="L10" s="7"/>
      <c r="M10" s="7"/>
    </row>
    <row r="11" customFormat="false" ht="9.75" hidden="false" customHeight="true" outlineLevel="0" collapsed="false"/>
    <row r="12" customFormat="false" ht="21.75" hidden="false" customHeight="true" outlineLevel="0" collapsed="false">
      <c r="A12" s="8" t="s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23.25" hidden="false" customHeight="true" outlineLevel="0" collapsed="false">
      <c r="A13" s="9" t="s">
        <v>9</v>
      </c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8" hidden="false" customHeight="true" outlineLevel="0" collapsed="false">
      <c r="A14" s="11" t="s">
        <v>11</v>
      </c>
      <c r="B14" s="12" t="s">
        <v>12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8" hidden="false" customHeight="true" outlineLevel="0" collapsed="false">
      <c r="A15" s="11" t="s">
        <v>13</v>
      </c>
      <c r="B15" s="13" t="s">
        <v>14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8" hidden="false" customHeight="true" outlineLevel="0" collapsed="false">
      <c r="A16" s="11" t="s">
        <v>15</v>
      </c>
      <c r="B16" s="12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8" hidden="false" customHeight="true" outlineLevel="0" collapsed="false">
      <c r="A17" s="11" t="s">
        <v>17</v>
      </c>
      <c r="B17" s="13" t="s">
        <v>18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customFormat="false" ht="18" hidden="false" customHeight="true" outlineLevel="0" collapsed="false">
      <c r="A18" s="11" t="s">
        <v>19</v>
      </c>
      <c r="B18" s="12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customFormat="false" ht="18" hidden="false" customHeight="true" outlineLevel="0" collapsed="false">
      <c r="A19" s="11" t="s">
        <v>21</v>
      </c>
      <c r="B19" s="13" t="s">
        <v>22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customFormat="false" ht="18" hidden="false" customHeight="true" outlineLevel="0" collapsed="false">
      <c r="A20" s="11" t="s">
        <v>23</v>
      </c>
      <c r="B20" s="12" t="s">
        <v>24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customFormat="false" ht="18" hidden="false" customHeight="true" outlineLevel="0" collapsed="false">
      <c r="A21" s="11" t="s">
        <v>25</v>
      </c>
      <c r="B21" s="13" t="s">
        <v>26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8" hidden="false" customHeight="true" outlineLevel="0" collapsed="false">
      <c r="A22" s="11" t="s">
        <v>27</v>
      </c>
      <c r="B22" s="12" t="s">
        <v>28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8" hidden="false" customHeight="true" outlineLevel="0" collapsed="false">
      <c r="A23" s="11" t="s">
        <v>29</v>
      </c>
      <c r="B23" s="13" t="s">
        <v>30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5" customFormat="false" ht="21.75" hidden="false" customHeight="true" outlineLevel="0" collapsed="false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15" hidden="false" customHeight="true" outlineLevel="0" collapsed="false">
      <c r="A26" s="9" t="s">
        <v>32</v>
      </c>
      <c r="B26" s="10" t="s">
        <v>33</v>
      </c>
      <c r="C26" s="10"/>
      <c r="D26" s="10" t="s">
        <v>34</v>
      </c>
      <c r="E26" s="10"/>
      <c r="F26" s="10"/>
      <c r="G26" s="10"/>
      <c r="H26" s="10"/>
      <c r="I26" s="10"/>
      <c r="J26" s="10"/>
      <c r="K26" s="10"/>
      <c r="L26" s="10"/>
      <c r="M26" s="10"/>
    </row>
    <row r="27" customFormat="false" ht="31.5" hidden="false" customHeight="true" outlineLevel="0" collapsed="false">
      <c r="A27" s="14" t="s">
        <v>35</v>
      </c>
      <c r="B27" s="11" t="s">
        <v>36</v>
      </c>
      <c r="C27" s="11"/>
      <c r="D27" s="12" t="s">
        <v>37</v>
      </c>
      <c r="E27" s="12"/>
      <c r="F27" s="12"/>
      <c r="G27" s="12"/>
      <c r="H27" s="12"/>
      <c r="I27" s="12"/>
      <c r="J27" s="12"/>
      <c r="K27" s="12"/>
      <c r="L27" s="12"/>
      <c r="M27" s="12"/>
    </row>
    <row r="28" customFormat="false" ht="31.5" hidden="false" customHeight="true" outlineLevel="0" collapsed="false">
      <c r="A28" s="14" t="s">
        <v>38</v>
      </c>
      <c r="B28" s="11" t="s">
        <v>39</v>
      </c>
      <c r="C28" s="11"/>
      <c r="D28" s="13" t="s">
        <v>40</v>
      </c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31.5" hidden="false" customHeight="true" outlineLevel="0" collapsed="false">
      <c r="A29" s="14" t="s">
        <v>41</v>
      </c>
      <c r="B29" s="11" t="s">
        <v>42</v>
      </c>
      <c r="C29" s="11"/>
      <c r="D29" s="12" t="s">
        <v>43</v>
      </c>
      <c r="E29" s="12"/>
      <c r="F29" s="12"/>
      <c r="G29" s="12"/>
      <c r="H29" s="12"/>
      <c r="I29" s="12"/>
      <c r="J29" s="12"/>
      <c r="K29" s="12"/>
      <c r="L29" s="12"/>
      <c r="M29" s="12"/>
    </row>
    <row r="30" customFormat="false" ht="31.5" hidden="false" customHeight="true" outlineLevel="0" collapsed="false">
      <c r="A30" s="14" t="s">
        <v>44</v>
      </c>
      <c r="B30" s="11" t="s">
        <v>45</v>
      </c>
      <c r="C30" s="11"/>
      <c r="D30" s="13" t="s">
        <v>46</v>
      </c>
      <c r="E30" s="13"/>
      <c r="F30" s="13"/>
      <c r="G30" s="13"/>
      <c r="H30" s="13"/>
      <c r="I30" s="13"/>
      <c r="J30" s="13"/>
      <c r="K30" s="13"/>
      <c r="L30" s="13"/>
      <c r="M30" s="13"/>
    </row>
    <row r="31" customFormat="false" ht="31.5" hidden="false" customHeight="true" outlineLevel="0" collapsed="false">
      <c r="A31" s="14" t="s">
        <v>47</v>
      </c>
      <c r="B31" s="11" t="s">
        <v>48</v>
      </c>
      <c r="C31" s="11"/>
      <c r="D31" s="12" t="s">
        <v>49</v>
      </c>
      <c r="E31" s="12"/>
      <c r="F31" s="12"/>
      <c r="G31" s="12"/>
      <c r="H31" s="12"/>
      <c r="I31" s="12"/>
      <c r="J31" s="12"/>
      <c r="K31" s="12"/>
      <c r="L31" s="12"/>
      <c r="M31" s="12"/>
    </row>
    <row r="32" customFormat="false" ht="31.5" hidden="false" customHeight="true" outlineLevel="0" collapsed="false">
      <c r="A32" s="14" t="s">
        <v>50</v>
      </c>
      <c r="B32" s="11" t="s">
        <v>51</v>
      </c>
      <c r="C32" s="11"/>
      <c r="D32" s="13" t="s">
        <v>52</v>
      </c>
      <c r="E32" s="13"/>
      <c r="F32" s="13"/>
      <c r="G32" s="13"/>
      <c r="H32" s="13"/>
      <c r="I32" s="13"/>
      <c r="J32" s="13"/>
      <c r="K32" s="13"/>
      <c r="L32" s="13"/>
      <c r="M32" s="13"/>
    </row>
    <row r="33" customFormat="false" ht="31.5" hidden="false" customHeight="true" outlineLevel="0" collapsed="false">
      <c r="A33" s="14" t="s">
        <v>53</v>
      </c>
      <c r="B33" s="11" t="s">
        <v>54</v>
      </c>
      <c r="C33" s="11"/>
      <c r="D33" s="12" t="s">
        <v>55</v>
      </c>
      <c r="E33" s="12"/>
      <c r="F33" s="12"/>
      <c r="G33" s="12"/>
      <c r="H33" s="12"/>
      <c r="I33" s="12"/>
      <c r="J33" s="12"/>
      <c r="K33" s="12"/>
      <c r="L33" s="12"/>
      <c r="M33" s="12"/>
    </row>
    <row r="34" customFormat="false" ht="31.5" hidden="false" customHeight="true" outlineLevel="0" collapsed="false">
      <c r="A34" s="14" t="s">
        <v>56</v>
      </c>
      <c r="B34" s="11" t="s">
        <v>57</v>
      </c>
      <c r="C34" s="11"/>
      <c r="D34" s="13" t="s">
        <v>58</v>
      </c>
      <c r="E34" s="13"/>
      <c r="F34" s="13"/>
      <c r="G34" s="13"/>
      <c r="H34" s="13"/>
      <c r="I34" s="13"/>
      <c r="J34" s="13"/>
      <c r="K34" s="13"/>
      <c r="L34" s="13"/>
      <c r="M34" s="13"/>
    </row>
    <row r="35" customFormat="false" ht="31.5" hidden="false" customHeight="true" outlineLevel="0" collapsed="false">
      <c r="A35" s="14" t="s">
        <v>59</v>
      </c>
      <c r="B35" s="11" t="s">
        <v>60</v>
      </c>
      <c r="C35" s="11"/>
      <c r="D35" s="12" t="s">
        <v>61</v>
      </c>
      <c r="E35" s="12"/>
      <c r="F35" s="12"/>
      <c r="G35" s="12"/>
      <c r="H35" s="12"/>
      <c r="I35" s="12"/>
      <c r="J35" s="12"/>
      <c r="K35" s="12"/>
      <c r="L35" s="12"/>
      <c r="M35" s="12"/>
    </row>
    <row r="36" customFormat="false" ht="31.5" hidden="false" customHeight="true" outlineLevel="0" collapsed="false">
      <c r="A36" s="14" t="s">
        <v>62</v>
      </c>
      <c r="B36" s="11" t="s">
        <v>63</v>
      </c>
      <c r="C36" s="11"/>
      <c r="D36" s="13" t="s">
        <v>64</v>
      </c>
      <c r="E36" s="13"/>
      <c r="F36" s="13"/>
      <c r="G36" s="13"/>
      <c r="H36" s="13"/>
      <c r="I36" s="13"/>
      <c r="J36" s="13"/>
      <c r="K36" s="13"/>
      <c r="L36" s="13"/>
      <c r="M36" s="13"/>
    </row>
    <row r="38" customFormat="false" ht="21.75" hidden="false" customHeight="true" outlineLevel="0" collapsed="false">
      <c r="A38" s="8" t="s">
        <v>65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customFormat="false" ht="24" hidden="false" customHeight="true" outlineLevel="0" collapsed="false">
      <c r="A39" s="12" t="s">
        <v>66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customFormat="false" ht="24" hidden="false" customHeight="true" outlineLevel="0" collapsed="false">
      <c r="A40" s="13" t="s">
        <v>67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customFormat="false" ht="24" hidden="false" customHeight="true" outlineLevel="0" collapsed="false">
      <c r="A41" s="12" t="s">
        <v>68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customFormat="false" ht="24" hidden="false" customHeight="true" outlineLevel="0" collapsed="false">
      <c r="A42" s="13" t="s">
        <v>69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customFormat="false" ht="24" hidden="false" customHeight="true" outlineLevel="0" collapsed="false">
      <c r="A43" s="12" t="s">
        <v>70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customFormat="false" ht="24" hidden="false" customHeight="true" outlineLevel="0" collapsed="false">
      <c r="A44" s="13" t="s">
        <v>71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</sheetData>
  <mergeCells count="50">
    <mergeCell ref="A2:M2"/>
    <mergeCell ref="A3:M3"/>
    <mergeCell ref="A7:E9"/>
    <mergeCell ref="F7:J9"/>
    <mergeCell ref="K7:M9"/>
    <mergeCell ref="A10:E10"/>
    <mergeCell ref="F10:J10"/>
    <mergeCell ref="K10:M10"/>
    <mergeCell ref="A12:M12"/>
    <mergeCell ref="B13:M13"/>
    <mergeCell ref="B14:M14"/>
    <mergeCell ref="B15:M15"/>
    <mergeCell ref="B16:M16"/>
    <mergeCell ref="B17:M17"/>
    <mergeCell ref="B18:M18"/>
    <mergeCell ref="B19:M19"/>
    <mergeCell ref="B20:M20"/>
    <mergeCell ref="B21:M21"/>
    <mergeCell ref="B22:M22"/>
    <mergeCell ref="B23:M23"/>
    <mergeCell ref="A25:M25"/>
    <mergeCell ref="B26:C26"/>
    <mergeCell ref="D26:M26"/>
    <mergeCell ref="B27:C27"/>
    <mergeCell ref="D27:M27"/>
    <mergeCell ref="B28:C28"/>
    <mergeCell ref="D28:M28"/>
    <mergeCell ref="B29:C29"/>
    <mergeCell ref="D29:M29"/>
    <mergeCell ref="B30:C30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B35:C35"/>
    <mergeCell ref="D35:M35"/>
    <mergeCell ref="B36:C36"/>
    <mergeCell ref="D36:M36"/>
    <mergeCell ref="A38:M38"/>
    <mergeCell ref="A39:M39"/>
    <mergeCell ref="A40:M40"/>
    <mergeCell ref="A41:M41"/>
    <mergeCell ref="A42:M42"/>
    <mergeCell ref="A43:M43"/>
    <mergeCell ref="A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12" min="5" style="1" width="14"/>
  </cols>
  <sheetData>
    <row r="1" customFormat="false" ht="31.5" hidden="false" customHeight="true" outlineLevel="0" collapsed="false">
      <c r="A1" s="15" t="s">
        <v>72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8" t="s">
        <v>73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15" hidden="false" customHeight="true" outlineLevel="0" collapsed="false">
      <c r="A4" s="16" t="s">
        <v>74</v>
      </c>
      <c r="B4" s="16" t="s">
        <v>75</v>
      </c>
      <c r="C4" s="16" t="s">
        <v>76</v>
      </c>
    </row>
    <row r="5" customFormat="false" ht="15" hidden="false" customHeight="true" outlineLevel="0" collapsed="false">
      <c r="A5" s="12" t="s">
        <v>77</v>
      </c>
      <c r="B5" s="17" t="n">
        <v>753</v>
      </c>
      <c r="C5" s="18" t="n">
        <f aca="false">B5/B7</f>
        <v>0.600478468899522</v>
      </c>
    </row>
    <row r="6" customFormat="false" ht="15" hidden="false" customHeight="true" outlineLevel="0" collapsed="false">
      <c r="A6" s="13" t="s">
        <v>78</v>
      </c>
      <c r="B6" s="19" t="n">
        <v>501</v>
      </c>
      <c r="C6" s="20" t="n">
        <f aca="false">B6/B7</f>
        <v>0.399521531100478</v>
      </c>
    </row>
    <row r="7" customFormat="false" ht="15" hidden="false" customHeight="true" outlineLevel="0" collapsed="false">
      <c r="A7" s="11" t="s">
        <v>79</v>
      </c>
      <c r="B7" s="21" t="n">
        <v>1254</v>
      </c>
      <c r="C7" s="22" t="n">
        <f aca="false">B7/B7</f>
        <v>1</v>
      </c>
    </row>
    <row r="9" customFormat="false" ht="21.75" hidden="false" customHeight="true" outlineLevel="0" collapsed="false">
      <c r="A9" s="8" t="s">
        <v>80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true" outlineLevel="0" collapsed="false">
      <c r="A10" s="16" t="s">
        <v>81</v>
      </c>
      <c r="B10" s="16" t="s">
        <v>75</v>
      </c>
      <c r="C10" s="16" t="s">
        <v>76</v>
      </c>
    </row>
    <row r="11" customFormat="false" ht="15" hidden="false" customHeight="true" outlineLevel="0" collapsed="false">
      <c r="A11" s="12" t="s">
        <v>82</v>
      </c>
      <c r="B11" s="17" t="n">
        <v>323</v>
      </c>
      <c r="C11" s="18" t="n">
        <v>0.258</v>
      </c>
    </row>
    <row r="12" customFormat="false" ht="15" hidden="false" customHeight="true" outlineLevel="0" collapsed="false">
      <c r="A12" s="13" t="s">
        <v>83</v>
      </c>
      <c r="B12" s="19" t="n">
        <v>263</v>
      </c>
      <c r="C12" s="20" t="n">
        <v>0.21</v>
      </c>
    </row>
    <row r="13" customFormat="false" ht="15" hidden="false" customHeight="true" outlineLevel="0" collapsed="false">
      <c r="A13" s="12" t="s">
        <v>84</v>
      </c>
      <c r="B13" s="17" t="n">
        <v>289</v>
      </c>
      <c r="C13" s="18" t="n">
        <v>0.23</v>
      </c>
    </row>
    <row r="14" customFormat="false" ht="15" hidden="false" customHeight="true" outlineLevel="0" collapsed="false">
      <c r="A14" s="13" t="s">
        <v>85</v>
      </c>
      <c r="B14" s="19" t="n">
        <v>194</v>
      </c>
      <c r="C14" s="20" t="n">
        <v>0.155</v>
      </c>
    </row>
    <row r="15" customFormat="false" ht="15" hidden="false" customHeight="true" outlineLevel="0" collapsed="false">
      <c r="A15" s="12" t="s">
        <v>86</v>
      </c>
      <c r="B15" s="17" t="n">
        <v>118</v>
      </c>
      <c r="C15" s="18" t="n">
        <v>0.094</v>
      </c>
    </row>
    <row r="16" customFormat="false" ht="15" hidden="false" customHeight="true" outlineLevel="0" collapsed="false">
      <c r="A16" s="13" t="s">
        <v>87</v>
      </c>
      <c r="B16" s="19" t="n">
        <v>67</v>
      </c>
      <c r="C16" s="20" t="n">
        <v>0.053</v>
      </c>
    </row>
    <row r="17" customFormat="false" ht="15" hidden="false" customHeight="true" outlineLevel="0" collapsed="false">
      <c r="A17" s="11" t="s">
        <v>88</v>
      </c>
      <c r="B17" s="21" t="n">
        <f aca="false">SUM(B11:B16)</f>
        <v>1254</v>
      </c>
      <c r="C17" s="14" t="s">
        <v>89</v>
      </c>
    </row>
    <row r="19" customFormat="false" ht="21.75" hidden="false" customHeight="true" outlineLevel="0" collapsed="false">
      <c r="A19" s="8" t="s">
        <v>90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15" hidden="false" customHeight="true" outlineLevel="0" collapsed="false">
      <c r="A20" s="16" t="s">
        <v>91</v>
      </c>
      <c r="B20" s="16" t="s">
        <v>75</v>
      </c>
      <c r="C20" s="16" t="s">
        <v>76</v>
      </c>
    </row>
    <row r="21" customFormat="false" ht="15" hidden="false" customHeight="true" outlineLevel="0" collapsed="false">
      <c r="A21" s="12" t="s">
        <v>92</v>
      </c>
      <c r="B21" s="17" t="n">
        <v>857</v>
      </c>
      <c r="C21" s="18" t="n">
        <v>0.683</v>
      </c>
    </row>
    <row r="22" customFormat="false" ht="15" hidden="false" customHeight="true" outlineLevel="0" collapsed="false">
      <c r="A22" s="13" t="s">
        <v>93</v>
      </c>
      <c r="B22" s="19" t="n">
        <v>324</v>
      </c>
      <c r="C22" s="20" t="n">
        <v>0.258</v>
      </c>
    </row>
    <row r="23" customFormat="false" ht="15" hidden="false" customHeight="true" outlineLevel="0" collapsed="false">
      <c r="A23" s="12" t="s">
        <v>94</v>
      </c>
      <c r="B23" s="17" t="n">
        <v>71</v>
      </c>
      <c r="C23" s="18" t="n">
        <v>0.057</v>
      </c>
    </row>
    <row r="24" customFormat="false" ht="15" hidden="false" customHeight="true" outlineLevel="0" collapsed="false">
      <c r="A24" s="13" t="s">
        <v>95</v>
      </c>
      <c r="B24" s="19" t="n">
        <v>2</v>
      </c>
      <c r="C24" s="20" t="n">
        <v>0.002</v>
      </c>
    </row>
    <row r="26" customFormat="false" ht="21.75" hidden="false" customHeight="true" outlineLevel="0" collapsed="false">
      <c r="A26" s="8" t="s">
        <v>96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true" outlineLevel="0" collapsed="false">
      <c r="A27" s="16" t="s">
        <v>97</v>
      </c>
      <c r="B27" s="16" t="s">
        <v>75</v>
      </c>
      <c r="C27" s="16" t="s">
        <v>76</v>
      </c>
    </row>
    <row r="28" customFormat="false" ht="15" hidden="false" customHeight="true" outlineLevel="0" collapsed="false">
      <c r="A28" s="12" t="s">
        <v>98</v>
      </c>
      <c r="B28" s="17" t="n">
        <v>670</v>
      </c>
      <c r="C28" s="18" t="n">
        <v>0.534</v>
      </c>
    </row>
    <row r="29" customFormat="false" ht="15" hidden="false" customHeight="true" outlineLevel="0" collapsed="false">
      <c r="A29" s="13" t="s">
        <v>99</v>
      </c>
      <c r="B29" s="19" t="n">
        <v>328</v>
      </c>
      <c r="C29" s="20" t="n">
        <v>0.262</v>
      </c>
    </row>
    <row r="30" customFormat="false" ht="15" hidden="false" customHeight="true" outlineLevel="0" collapsed="false">
      <c r="A30" s="12" t="s">
        <v>100</v>
      </c>
      <c r="B30" s="17" t="n">
        <v>103</v>
      </c>
      <c r="C30" s="18" t="n">
        <v>0.082</v>
      </c>
    </row>
    <row r="31" customFormat="false" ht="15" hidden="false" customHeight="true" outlineLevel="0" collapsed="false">
      <c r="A31" s="13" t="s">
        <v>101</v>
      </c>
      <c r="B31" s="19" t="n">
        <v>60</v>
      </c>
      <c r="C31" s="20" t="n">
        <v>0.048</v>
      </c>
    </row>
    <row r="32" customFormat="false" ht="15" hidden="false" customHeight="true" outlineLevel="0" collapsed="false">
      <c r="A32" s="12" t="s">
        <v>102</v>
      </c>
      <c r="B32" s="17" t="n">
        <v>14</v>
      </c>
      <c r="C32" s="18" t="n">
        <v>0.011</v>
      </c>
    </row>
    <row r="33" customFormat="false" ht="15" hidden="false" customHeight="true" outlineLevel="0" collapsed="false">
      <c r="A33" s="13" t="s">
        <v>95</v>
      </c>
      <c r="B33" s="19" t="n">
        <v>79</v>
      </c>
      <c r="C33" s="20" t="n">
        <v>0.063</v>
      </c>
    </row>
    <row r="35" customFormat="false" ht="21.75" hidden="false" customHeight="true" outlineLevel="0" collapsed="false">
      <c r="A35" s="8" t="s">
        <v>103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true" outlineLevel="0" collapsed="false">
      <c r="A36" s="16" t="s">
        <v>104</v>
      </c>
      <c r="B36" s="16" t="s">
        <v>75</v>
      </c>
      <c r="C36" s="16" t="s">
        <v>76</v>
      </c>
    </row>
    <row r="37" customFormat="false" ht="15" hidden="false" customHeight="true" outlineLevel="0" collapsed="false">
      <c r="A37" s="12" t="s">
        <v>105</v>
      </c>
      <c r="B37" s="17" t="n">
        <v>849</v>
      </c>
      <c r="C37" s="18" t="n">
        <v>0.677</v>
      </c>
    </row>
    <row r="38" customFormat="false" ht="15" hidden="false" customHeight="true" outlineLevel="0" collapsed="false">
      <c r="A38" s="13" t="s">
        <v>106</v>
      </c>
      <c r="B38" s="19" t="n">
        <v>393</v>
      </c>
      <c r="C38" s="20" t="n">
        <v>0.313</v>
      </c>
    </row>
    <row r="39" customFormat="false" ht="15" hidden="false" customHeight="true" outlineLevel="0" collapsed="false">
      <c r="A39" s="12" t="s">
        <v>107</v>
      </c>
      <c r="B39" s="17" t="n">
        <v>4</v>
      </c>
      <c r="C39" s="18" t="n">
        <v>0.003</v>
      </c>
    </row>
    <row r="40" customFormat="false" ht="15" hidden="false" customHeight="true" outlineLevel="0" collapsed="false">
      <c r="A40" s="13" t="s">
        <v>108</v>
      </c>
      <c r="B40" s="19" t="n">
        <v>3</v>
      </c>
      <c r="C40" s="20" t="n">
        <v>0.002</v>
      </c>
    </row>
    <row r="41" customFormat="false" ht="15" hidden="false" customHeight="true" outlineLevel="0" collapsed="false">
      <c r="A41" s="12" t="s">
        <v>95</v>
      </c>
      <c r="B41" s="17" t="n">
        <v>5</v>
      </c>
      <c r="C41" s="18" t="n">
        <v>0.004</v>
      </c>
    </row>
    <row r="43" customFormat="false" ht="21.75" hidden="false" customHeight="true" outlineLevel="0" collapsed="false">
      <c r="A43" s="8" t="s">
        <v>109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15" hidden="false" customHeight="true" outlineLevel="0" collapsed="false">
      <c r="A44" s="23" t="s">
        <v>110</v>
      </c>
      <c r="B44" s="23"/>
      <c r="C44" s="23" t="s">
        <v>111</v>
      </c>
      <c r="D44" s="23"/>
      <c r="E44" s="23"/>
      <c r="F44" s="23"/>
      <c r="G44" s="23"/>
      <c r="H44" s="23"/>
      <c r="I44" s="23"/>
      <c r="J44" s="23"/>
      <c r="K44" s="23"/>
      <c r="L44" s="23"/>
    </row>
    <row r="45" customFormat="false" ht="19.5" hidden="false" customHeight="true" outlineLevel="0" collapsed="false">
      <c r="A45" s="11" t="s">
        <v>112</v>
      </c>
      <c r="B45" s="11"/>
      <c r="C45" s="12" t="s">
        <v>113</v>
      </c>
      <c r="D45" s="12"/>
      <c r="E45" s="12"/>
      <c r="F45" s="12"/>
      <c r="G45" s="12"/>
      <c r="H45" s="12"/>
      <c r="I45" s="12"/>
      <c r="J45" s="12"/>
      <c r="K45" s="12"/>
      <c r="L45" s="12"/>
    </row>
    <row r="46" customFormat="false" ht="19.5" hidden="false" customHeight="true" outlineLevel="0" collapsed="false">
      <c r="A46" s="11" t="s">
        <v>114</v>
      </c>
      <c r="B46" s="11"/>
      <c r="C46" s="13" t="s">
        <v>115</v>
      </c>
      <c r="D46" s="13"/>
      <c r="E46" s="13"/>
      <c r="F46" s="13"/>
      <c r="G46" s="13"/>
      <c r="H46" s="13"/>
      <c r="I46" s="13"/>
      <c r="J46" s="13"/>
      <c r="K46" s="13"/>
      <c r="L46" s="13"/>
    </row>
    <row r="47" customFormat="false" ht="19.5" hidden="false" customHeight="true" outlineLevel="0" collapsed="false">
      <c r="A47" s="11" t="s">
        <v>116</v>
      </c>
      <c r="B47" s="11"/>
      <c r="C47" s="12" t="s">
        <v>117</v>
      </c>
      <c r="D47" s="12"/>
      <c r="E47" s="12"/>
      <c r="F47" s="12"/>
      <c r="G47" s="12"/>
      <c r="H47" s="12"/>
      <c r="I47" s="12"/>
      <c r="J47" s="12"/>
      <c r="K47" s="12"/>
      <c r="L47" s="12"/>
    </row>
    <row r="48" customFormat="false" ht="19.5" hidden="false" customHeight="true" outlineLevel="0" collapsed="false">
      <c r="A48" s="11" t="s">
        <v>118</v>
      </c>
      <c r="B48" s="11"/>
      <c r="C48" s="13" t="s">
        <v>119</v>
      </c>
      <c r="D48" s="13"/>
      <c r="E48" s="13"/>
      <c r="F48" s="13"/>
      <c r="G48" s="13"/>
      <c r="H48" s="13"/>
      <c r="I48" s="13"/>
      <c r="J48" s="13"/>
      <c r="K48" s="13"/>
      <c r="L48" s="13"/>
    </row>
    <row r="49" customFormat="false" ht="19.5" hidden="false" customHeight="true" outlineLevel="0" collapsed="false">
      <c r="A49" s="11" t="s">
        <v>120</v>
      </c>
      <c r="B49" s="11"/>
      <c r="C49" s="12" t="s">
        <v>121</v>
      </c>
      <c r="D49" s="12"/>
      <c r="E49" s="12"/>
      <c r="F49" s="12"/>
      <c r="G49" s="12"/>
      <c r="H49" s="12"/>
      <c r="I49" s="12"/>
      <c r="J49" s="12"/>
      <c r="K49" s="12"/>
      <c r="L49" s="12"/>
    </row>
    <row r="50" customFormat="false" ht="19.5" hidden="false" customHeight="true" outlineLevel="0" collapsed="false">
      <c r="A50" s="11" t="s">
        <v>122</v>
      </c>
      <c r="B50" s="11"/>
      <c r="C50" s="13" t="s">
        <v>123</v>
      </c>
      <c r="D50" s="13"/>
      <c r="E50" s="13"/>
      <c r="F50" s="13"/>
      <c r="G50" s="13"/>
      <c r="H50" s="13"/>
      <c r="I50" s="13"/>
      <c r="J50" s="13"/>
      <c r="K50" s="13"/>
      <c r="L50" s="13"/>
    </row>
    <row r="51" customFormat="false" ht="19.5" hidden="false" customHeight="true" outlineLevel="0" collapsed="false">
      <c r="A51" s="11" t="s">
        <v>124</v>
      </c>
      <c r="B51" s="11"/>
      <c r="C51" s="12" t="s">
        <v>125</v>
      </c>
      <c r="D51" s="12"/>
      <c r="E51" s="12"/>
      <c r="F51" s="12"/>
      <c r="G51" s="12"/>
      <c r="H51" s="12"/>
      <c r="I51" s="12"/>
      <c r="J51" s="12"/>
      <c r="K51" s="12"/>
      <c r="L51" s="12"/>
    </row>
    <row r="52" customFormat="false" ht="19.5" hidden="false" customHeight="true" outlineLevel="0" collapsed="false">
      <c r="A52" s="11" t="s">
        <v>126</v>
      </c>
      <c r="B52" s="11"/>
      <c r="C52" s="13" t="s">
        <v>127</v>
      </c>
      <c r="D52" s="13"/>
      <c r="E52" s="13"/>
      <c r="F52" s="13"/>
      <c r="G52" s="13"/>
      <c r="H52" s="13"/>
      <c r="I52" s="13"/>
      <c r="J52" s="13"/>
      <c r="K52" s="13"/>
      <c r="L52" s="13"/>
    </row>
    <row r="54" customFormat="false" ht="21.75" hidden="false" customHeight="true" outlineLevel="0" collapsed="false">
      <c r="A54" s="8" t="s">
        <v>128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26.25" hidden="false" customHeight="true" outlineLevel="0" collapsed="false">
      <c r="A55" s="23" t="s">
        <v>129</v>
      </c>
      <c r="B55" s="23"/>
      <c r="C55" s="16" t="s">
        <v>130</v>
      </c>
      <c r="D55" s="23" t="s">
        <v>131</v>
      </c>
      <c r="E55" s="23"/>
      <c r="F55" s="23"/>
      <c r="G55" s="23"/>
      <c r="H55" s="23"/>
      <c r="I55" s="23"/>
      <c r="J55" s="23"/>
      <c r="K55" s="23"/>
      <c r="L55" s="23"/>
    </row>
    <row r="56" customFormat="false" ht="15" hidden="false" customHeight="true" outlineLevel="0" collapsed="false">
      <c r="A56" s="12" t="s">
        <v>132</v>
      </c>
      <c r="B56" s="12"/>
      <c r="C56" s="17" t="n">
        <v>1127</v>
      </c>
      <c r="D56" s="24" t="n">
        <v>0.899</v>
      </c>
      <c r="E56" s="24"/>
      <c r="F56" s="24"/>
      <c r="G56" s="24"/>
      <c r="H56" s="24"/>
      <c r="I56" s="24"/>
      <c r="J56" s="24"/>
      <c r="K56" s="24"/>
      <c r="L56" s="24"/>
    </row>
    <row r="57" customFormat="false" ht="15" hidden="false" customHeight="true" outlineLevel="0" collapsed="false">
      <c r="A57" s="13" t="s">
        <v>133</v>
      </c>
      <c r="B57" s="13"/>
      <c r="C57" s="19" t="n">
        <v>1120</v>
      </c>
      <c r="D57" s="25" t="n">
        <v>0.893</v>
      </c>
      <c r="E57" s="25"/>
      <c r="F57" s="25"/>
      <c r="G57" s="25"/>
      <c r="H57" s="25"/>
      <c r="I57" s="25"/>
      <c r="J57" s="25"/>
      <c r="K57" s="25"/>
      <c r="L57" s="25"/>
    </row>
    <row r="58" customFormat="false" ht="15" hidden="false" customHeight="true" outlineLevel="0" collapsed="false">
      <c r="A58" s="12" t="s">
        <v>134</v>
      </c>
      <c r="B58" s="12"/>
      <c r="C58" s="17" t="n">
        <v>1084</v>
      </c>
      <c r="D58" s="24" t="n">
        <v>0.864</v>
      </c>
      <c r="E58" s="24"/>
      <c r="F58" s="24"/>
      <c r="G58" s="24"/>
      <c r="H58" s="24"/>
      <c r="I58" s="24"/>
      <c r="J58" s="24"/>
      <c r="K58" s="24"/>
      <c r="L58" s="24"/>
    </row>
    <row r="59" customFormat="false" ht="15" hidden="false" customHeight="true" outlineLevel="0" collapsed="false">
      <c r="A59" s="13" t="s">
        <v>135</v>
      </c>
      <c r="B59" s="13"/>
      <c r="C59" s="19" t="n">
        <v>834</v>
      </c>
      <c r="D59" s="25" t="n">
        <v>0.665</v>
      </c>
      <c r="E59" s="25"/>
      <c r="F59" s="25"/>
      <c r="G59" s="25"/>
      <c r="H59" s="25"/>
      <c r="I59" s="25"/>
      <c r="J59" s="25"/>
      <c r="K59" s="25"/>
      <c r="L59" s="25"/>
    </row>
    <row r="60" customFormat="false" ht="15" hidden="false" customHeight="true" outlineLevel="0" collapsed="false">
      <c r="A60" s="12" t="s">
        <v>136</v>
      </c>
      <c r="B60" s="12"/>
      <c r="C60" s="17" t="n">
        <v>269</v>
      </c>
      <c r="D60" s="24" t="n">
        <v>0.215</v>
      </c>
      <c r="E60" s="24"/>
      <c r="F60" s="24"/>
      <c r="G60" s="24"/>
      <c r="H60" s="24"/>
      <c r="I60" s="24"/>
      <c r="J60" s="24"/>
      <c r="K60" s="24"/>
      <c r="L60" s="24"/>
    </row>
    <row r="61" customFormat="false" ht="15" hidden="false" customHeight="true" outlineLevel="0" collapsed="false">
      <c r="A61" s="13" t="s">
        <v>137</v>
      </c>
      <c r="B61" s="13"/>
      <c r="C61" s="19" t="n">
        <v>261</v>
      </c>
      <c r="D61" s="25" t="n">
        <v>0.208</v>
      </c>
      <c r="E61" s="25"/>
      <c r="F61" s="25"/>
      <c r="G61" s="25"/>
      <c r="H61" s="25"/>
      <c r="I61" s="25"/>
      <c r="J61" s="25"/>
      <c r="K61" s="25"/>
      <c r="L61" s="25"/>
    </row>
    <row r="62" customFormat="false" ht="15" hidden="false" customHeight="true" outlineLevel="0" collapsed="false">
      <c r="A62" s="12" t="s">
        <v>138</v>
      </c>
      <c r="B62" s="12"/>
      <c r="C62" s="17" t="n">
        <v>253</v>
      </c>
      <c r="D62" s="24" t="n">
        <v>0.202</v>
      </c>
      <c r="E62" s="24"/>
      <c r="F62" s="24"/>
      <c r="G62" s="24"/>
      <c r="H62" s="24"/>
      <c r="I62" s="24"/>
      <c r="J62" s="24"/>
      <c r="K62" s="24"/>
      <c r="L62" s="24"/>
    </row>
    <row r="64" customFormat="false" ht="21.75" hidden="false" customHeight="true" outlineLevel="0" collapsed="false">
      <c r="A64" s="8" t="s">
        <v>139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customFormat="false" ht="15" hidden="false" customHeight="true" outlineLevel="0" collapsed="false">
      <c r="A65" s="16" t="s">
        <v>140</v>
      </c>
      <c r="B65" s="16" t="s">
        <v>141</v>
      </c>
      <c r="C65" s="23" t="s">
        <v>142</v>
      </c>
      <c r="D65" s="23"/>
    </row>
    <row r="66" customFormat="false" ht="15" hidden="false" customHeight="true" outlineLevel="0" collapsed="false">
      <c r="A66" s="12" t="s">
        <v>143</v>
      </c>
      <c r="B66" s="17" t="n">
        <v>1137</v>
      </c>
      <c r="C66" s="18" t="n">
        <v>0.907</v>
      </c>
      <c r="D66" s="18"/>
    </row>
    <row r="67" customFormat="false" ht="15" hidden="false" customHeight="true" outlineLevel="0" collapsed="false">
      <c r="A67" s="13" t="s">
        <v>144</v>
      </c>
      <c r="B67" s="19" t="n">
        <v>847</v>
      </c>
      <c r="C67" s="20" t="n">
        <v>0.675</v>
      </c>
      <c r="D67" s="20"/>
    </row>
    <row r="68" customFormat="false" ht="15" hidden="false" customHeight="true" outlineLevel="0" collapsed="false">
      <c r="A68" s="12" t="s">
        <v>145</v>
      </c>
      <c r="B68" s="17" t="n">
        <v>546</v>
      </c>
      <c r="C68" s="18" t="n">
        <v>0.435</v>
      </c>
      <c r="D68" s="18"/>
    </row>
    <row r="69" customFormat="false" ht="15" hidden="false" customHeight="true" outlineLevel="0" collapsed="false">
      <c r="A69" s="13" t="s">
        <v>146</v>
      </c>
      <c r="B69" s="19" t="n">
        <v>107</v>
      </c>
      <c r="C69" s="20" t="n">
        <v>0.085</v>
      </c>
      <c r="D69" s="20"/>
    </row>
    <row r="70" customFormat="false" ht="15" hidden="false" customHeight="true" outlineLevel="0" collapsed="false">
      <c r="A70" s="12" t="s">
        <v>147</v>
      </c>
      <c r="B70" s="17" t="n">
        <v>40</v>
      </c>
      <c r="C70" s="18" t="n">
        <v>0.032</v>
      </c>
      <c r="D70" s="18"/>
    </row>
    <row r="71" customFormat="false" ht="15" hidden="false" customHeight="true" outlineLevel="0" collapsed="false">
      <c r="A71" s="13" t="s">
        <v>148</v>
      </c>
      <c r="B71" s="19" t="n">
        <v>13</v>
      </c>
      <c r="C71" s="20" t="n">
        <v>0.01</v>
      </c>
      <c r="D71" s="20"/>
    </row>
    <row r="72" customFormat="false" ht="15" hidden="false" customHeight="true" outlineLevel="0" collapsed="false">
      <c r="A72" s="12" t="s">
        <v>149</v>
      </c>
      <c r="B72" s="17" t="n">
        <v>9</v>
      </c>
      <c r="C72" s="18" t="n">
        <v>0.007</v>
      </c>
      <c r="D72" s="18"/>
    </row>
    <row r="73" customFormat="false" ht="15" hidden="false" customHeight="true" outlineLevel="0" collapsed="false">
      <c r="A73" s="13" t="s">
        <v>101</v>
      </c>
      <c r="B73" s="19" t="n">
        <v>11</v>
      </c>
      <c r="C73" s="20" t="n">
        <v>0.009</v>
      </c>
      <c r="D73" s="20"/>
    </row>
    <row r="75" customFormat="false" ht="15" hidden="false" customHeight="true" outlineLevel="0" collapsed="false">
      <c r="A75" s="26" t="s">
        <v>150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</sheetData>
  <mergeCells count="53">
    <mergeCell ref="A1:L1"/>
    <mergeCell ref="A3:L3"/>
    <mergeCell ref="A9:L9"/>
    <mergeCell ref="A19:L19"/>
    <mergeCell ref="A26:L26"/>
    <mergeCell ref="A35:L35"/>
    <mergeCell ref="A43:L43"/>
    <mergeCell ref="A44:B44"/>
    <mergeCell ref="C44:L44"/>
    <mergeCell ref="A45:B45"/>
    <mergeCell ref="C45:L45"/>
    <mergeCell ref="A46:B46"/>
    <mergeCell ref="C46:L46"/>
    <mergeCell ref="A47:B47"/>
    <mergeCell ref="C47:L47"/>
    <mergeCell ref="A48:B48"/>
    <mergeCell ref="C48:L48"/>
    <mergeCell ref="A49:B49"/>
    <mergeCell ref="C49:L49"/>
    <mergeCell ref="A50:B50"/>
    <mergeCell ref="C50:L50"/>
    <mergeCell ref="A51:B51"/>
    <mergeCell ref="C51:L51"/>
    <mergeCell ref="A52:B52"/>
    <mergeCell ref="C52:L52"/>
    <mergeCell ref="A54:L54"/>
    <mergeCell ref="A55:B55"/>
    <mergeCell ref="D55:L55"/>
    <mergeCell ref="A56:B56"/>
    <mergeCell ref="D56:L56"/>
    <mergeCell ref="A57:B57"/>
    <mergeCell ref="D57:L57"/>
    <mergeCell ref="A58:B58"/>
    <mergeCell ref="D58:L58"/>
    <mergeCell ref="A59:B59"/>
    <mergeCell ref="D59:L59"/>
    <mergeCell ref="A60:B60"/>
    <mergeCell ref="D60:L60"/>
    <mergeCell ref="A61:B61"/>
    <mergeCell ref="D61:L61"/>
    <mergeCell ref="A62:B62"/>
    <mergeCell ref="D62:L62"/>
    <mergeCell ref="A64:L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5:L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2"/>
    <col collapsed="false" customWidth="true" hidden="false" outlineLevel="0" max="12" min="5" style="1" width="14"/>
  </cols>
  <sheetData>
    <row r="1" customFormat="false" ht="31.5" hidden="false" customHeight="true" outlineLevel="0" collapsed="false">
      <c r="A1" s="15" t="s">
        <v>151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8" t="s">
        <v>152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15" hidden="false" customHeight="true" outlineLevel="0" collapsed="false">
      <c r="A4" s="23" t="s">
        <v>153</v>
      </c>
      <c r="B4" s="23"/>
      <c r="C4" s="23"/>
      <c r="D4" s="16" t="s">
        <v>75</v>
      </c>
      <c r="E4" s="16" t="s">
        <v>154</v>
      </c>
      <c r="F4" s="16" t="s">
        <v>77</v>
      </c>
      <c r="G4" s="16" t="s">
        <v>78</v>
      </c>
      <c r="H4" s="23" t="s">
        <v>155</v>
      </c>
      <c r="I4" s="23"/>
      <c r="J4" s="23"/>
      <c r="K4" s="23"/>
      <c r="L4" s="23"/>
    </row>
    <row r="5" customFormat="false" ht="19.5" hidden="false" customHeight="true" outlineLevel="0" collapsed="false">
      <c r="A5" s="12" t="s">
        <v>156</v>
      </c>
      <c r="B5" s="12"/>
      <c r="C5" s="12"/>
      <c r="D5" s="17" t="n">
        <v>60</v>
      </c>
      <c r="E5" s="18" t="n">
        <v>0.048</v>
      </c>
      <c r="F5" s="17" t="n">
        <v>0</v>
      </c>
      <c r="G5" s="17" t="n">
        <v>0</v>
      </c>
      <c r="H5" s="12" t="s">
        <v>157</v>
      </c>
      <c r="I5" s="12"/>
      <c r="J5" s="12"/>
      <c r="K5" s="12"/>
      <c r="L5" s="12"/>
    </row>
    <row r="6" customFormat="false" ht="19.5" hidden="false" customHeight="true" outlineLevel="0" collapsed="false">
      <c r="A6" s="13" t="s">
        <v>158</v>
      </c>
      <c r="B6" s="13"/>
      <c r="C6" s="13"/>
      <c r="D6" s="19" t="n">
        <v>1</v>
      </c>
      <c r="E6" s="20" t="n">
        <v>0.001</v>
      </c>
      <c r="F6" s="19" t="n">
        <v>0</v>
      </c>
      <c r="G6" s="19" t="n">
        <v>0</v>
      </c>
      <c r="H6" s="13" t="s">
        <v>159</v>
      </c>
      <c r="I6" s="13"/>
      <c r="J6" s="13"/>
      <c r="K6" s="13"/>
      <c r="L6" s="13"/>
    </row>
    <row r="7" customFormat="false" ht="19.5" hidden="false" customHeight="true" outlineLevel="0" collapsed="false">
      <c r="A7" s="12" t="s">
        <v>160</v>
      </c>
      <c r="B7" s="12"/>
      <c r="C7" s="12"/>
      <c r="D7" s="17" t="n">
        <v>45</v>
      </c>
      <c r="E7" s="18" t="n">
        <v>0.036</v>
      </c>
      <c r="F7" s="17" t="n">
        <v>0</v>
      </c>
      <c r="G7" s="17" t="n">
        <v>0</v>
      </c>
      <c r="H7" s="12" t="s">
        <v>161</v>
      </c>
      <c r="I7" s="12"/>
      <c r="J7" s="12"/>
      <c r="K7" s="12"/>
      <c r="L7" s="12"/>
    </row>
    <row r="8" customFormat="false" ht="19.5" hidden="false" customHeight="true" outlineLevel="0" collapsed="false">
      <c r="A8" s="13" t="s">
        <v>162</v>
      </c>
      <c r="B8" s="13"/>
      <c r="C8" s="13"/>
      <c r="D8" s="19" t="n">
        <v>79</v>
      </c>
      <c r="E8" s="20" t="n">
        <v>0.063</v>
      </c>
      <c r="F8" s="19" t="n">
        <v>0</v>
      </c>
      <c r="G8" s="19" t="n">
        <v>0</v>
      </c>
      <c r="H8" s="13" t="s">
        <v>163</v>
      </c>
      <c r="I8" s="13"/>
      <c r="J8" s="13"/>
      <c r="K8" s="13"/>
      <c r="L8" s="13"/>
    </row>
    <row r="9" customFormat="false" ht="19.5" hidden="false" customHeight="true" outlineLevel="0" collapsed="false">
      <c r="A9" s="12" t="s">
        <v>164</v>
      </c>
      <c r="B9" s="12"/>
      <c r="C9" s="12"/>
      <c r="D9" s="17" t="n">
        <v>287</v>
      </c>
      <c r="E9" s="18" t="n">
        <v>0.229</v>
      </c>
      <c r="F9" s="17" t="n">
        <v>0</v>
      </c>
      <c r="G9" s="17" t="n">
        <v>0</v>
      </c>
      <c r="H9" s="12" t="s">
        <v>165</v>
      </c>
      <c r="I9" s="12"/>
      <c r="J9" s="12"/>
      <c r="K9" s="12"/>
      <c r="L9" s="12"/>
    </row>
    <row r="10" customFormat="false" ht="19.5" hidden="false" customHeight="true" outlineLevel="0" collapsed="false">
      <c r="A10" s="13" t="s">
        <v>166</v>
      </c>
      <c r="B10" s="13"/>
      <c r="C10" s="13"/>
      <c r="D10" s="19" t="n">
        <v>459</v>
      </c>
      <c r="E10" s="20" t="n">
        <v>0.366</v>
      </c>
      <c r="F10" s="19" t="n">
        <v>0</v>
      </c>
      <c r="G10" s="19" t="n">
        <v>0</v>
      </c>
      <c r="H10" s="13" t="s">
        <v>167</v>
      </c>
      <c r="I10" s="13"/>
      <c r="J10" s="13"/>
      <c r="K10" s="13"/>
      <c r="L10" s="13"/>
    </row>
    <row r="11" customFormat="false" ht="19.5" hidden="false" customHeight="true" outlineLevel="0" collapsed="false">
      <c r="A11" s="12" t="s">
        <v>168</v>
      </c>
      <c r="B11" s="12"/>
      <c r="C11" s="12"/>
      <c r="D11" s="17" t="n">
        <v>9</v>
      </c>
      <c r="E11" s="18" t="n">
        <v>0.007</v>
      </c>
      <c r="F11" s="17" t="n">
        <v>0</v>
      </c>
      <c r="G11" s="17" t="n">
        <v>0</v>
      </c>
      <c r="H11" s="12" t="s">
        <v>169</v>
      </c>
      <c r="I11" s="12"/>
      <c r="J11" s="12"/>
      <c r="K11" s="12"/>
      <c r="L11" s="12"/>
    </row>
    <row r="12" customFormat="false" ht="19.5" hidden="false" customHeight="true" outlineLevel="0" collapsed="false">
      <c r="A12" s="13" t="s">
        <v>170</v>
      </c>
      <c r="B12" s="13"/>
      <c r="C12" s="13"/>
      <c r="D12" s="19" t="n">
        <v>254</v>
      </c>
      <c r="E12" s="20" t="n">
        <v>0.203</v>
      </c>
      <c r="F12" s="19" t="n">
        <v>131</v>
      </c>
      <c r="G12" s="19" t="n">
        <v>123</v>
      </c>
      <c r="H12" s="13" t="s">
        <v>171</v>
      </c>
      <c r="I12" s="13"/>
      <c r="J12" s="13"/>
      <c r="K12" s="13"/>
      <c r="L12" s="13"/>
    </row>
    <row r="13" customFormat="false" ht="19.5" hidden="false" customHeight="true" outlineLevel="0" collapsed="false">
      <c r="A13" s="12" t="s">
        <v>172</v>
      </c>
      <c r="B13" s="12"/>
      <c r="C13" s="12"/>
      <c r="D13" s="17" t="n">
        <v>44</v>
      </c>
      <c r="E13" s="18" t="n">
        <v>0.035</v>
      </c>
      <c r="F13" s="17" t="n">
        <v>0</v>
      </c>
      <c r="G13" s="17" t="n">
        <v>0</v>
      </c>
      <c r="H13" s="12" t="s">
        <v>173</v>
      </c>
      <c r="I13" s="12"/>
      <c r="J13" s="12"/>
      <c r="K13" s="12"/>
      <c r="L13" s="12"/>
    </row>
    <row r="14" customFormat="false" ht="19.5" hidden="false" customHeight="true" outlineLevel="0" collapsed="false">
      <c r="A14" s="13" t="s">
        <v>95</v>
      </c>
      <c r="B14" s="13"/>
      <c r="C14" s="13"/>
      <c r="D14" s="19" t="n">
        <v>14</v>
      </c>
      <c r="E14" s="20" t="n">
        <v>0.011</v>
      </c>
      <c r="F14" s="19" t="n">
        <v>0</v>
      </c>
      <c r="G14" s="19" t="n">
        <v>0</v>
      </c>
      <c r="H14" s="13" t="s">
        <v>174</v>
      </c>
      <c r="I14" s="13"/>
      <c r="J14" s="13"/>
      <c r="K14" s="13"/>
      <c r="L14" s="13"/>
    </row>
    <row r="15" customFormat="false" ht="15" hidden="false" customHeight="true" outlineLevel="0" collapsed="false">
      <c r="A15" s="11" t="s">
        <v>175</v>
      </c>
      <c r="B15" s="11"/>
      <c r="C15" s="11"/>
      <c r="D15" s="21" t="n">
        <v>1238</v>
      </c>
      <c r="E15" s="27" t="n">
        <v>0.987</v>
      </c>
      <c r="F15" s="28"/>
      <c r="G15" s="28"/>
      <c r="H15" s="28"/>
      <c r="I15" s="28"/>
      <c r="J15" s="28"/>
      <c r="K15" s="28"/>
      <c r="L15" s="28"/>
    </row>
    <row r="17" customFormat="false" ht="21.75" hidden="false" customHeight="true" outlineLevel="0" collapsed="false">
      <c r="A17" s="8" t="s">
        <v>176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true" outlineLevel="0" collapsed="false">
      <c r="A18" s="23" t="s">
        <v>104</v>
      </c>
      <c r="B18" s="23"/>
      <c r="C18" s="23"/>
      <c r="D18" s="16" t="s">
        <v>75</v>
      </c>
      <c r="E18" s="16" t="s">
        <v>76</v>
      </c>
    </row>
    <row r="19" customFormat="false" ht="15" hidden="false" customHeight="true" outlineLevel="0" collapsed="false">
      <c r="A19" s="12" t="s">
        <v>177</v>
      </c>
      <c r="B19" s="12"/>
      <c r="C19" s="12"/>
      <c r="D19" s="17" t="n">
        <v>452</v>
      </c>
      <c r="E19" s="18" t="n">
        <v>0.36</v>
      </c>
    </row>
    <row r="20" customFormat="false" ht="15" hidden="false" customHeight="true" outlineLevel="0" collapsed="false">
      <c r="A20" s="13" t="s">
        <v>178</v>
      </c>
      <c r="B20" s="13"/>
      <c r="C20" s="13"/>
      <c r="D20" s="19" t="n">
        <v>775</v>
      </c>
      <c r="E20" s="20" t="n">
        <v>0.618</v>
      </c>
    </row>
    <row r="21" customFormat="false" ht="15" hidden="false" customHeight="true" outlineLevel="0" collapsed="false">
      <c r="A21" s="12" t="s">
        <v>95</v>
      </c>
      <c r="B21" s="12"/>
      <c r="C21" s="12"/>
      <c r="D21" s="17" t="n">
        <v>27</v>
      </c>
      <c r="E21" s="18" t="n">
        <v>0.022</v>
      </c>
    </row>
    <row r="23" customFormat="false" ht="21.75" hidden="false" customHeight="true" outlineLevel="0" collapsed="false">
      <c r="A23" s="8" t="s">
        <v>179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" hidden="false" customHeight="true" outlineLevel="0" collapsed="false">
      <c r="A24" s="23" t="s">
        <v>180</v>
      </c>
      <c r="B24" s="23"/>
      <c r="C24" s="23"/>
      <c r="D24" s="23"/>
      <c r="E24" s="16" t="s">
        <v>181</v>
      </c>
      <c r="F24" s="16" t="s">
        <v>76</v>
      </c>
      <c r="G24" s="16" t="s">
        <v>182</v>
      </c>
      <c r="H24" s="16" t="s">
        <v>76</v>
      </c>
    </row>
    <row r="25" customFormat="false" ht="15" hidden="false" customHeight="true" outlineLevel="0" collapsed="false">
      <c r="A25" s="12" t="s">
        <v>183</v>
      </c>
      <c r="B25" s="12"/>
      <c r="C25" s="12"/>
      <c r="D25" s="12"/>
      <c r="E25" s="17" t="n">
        <v>441</v>
      </c>
      <c r="F25" s="18" t="n">
        <v>0.362</v>
      </c>
      <c r="G25" s="17" t="n">
        <v>777</v>
      </c>
      <c r="H25" s="18" t="n">
        <v>0.638</v>
      </c>
    </row>
    <row r="26" customFormat="false" ht="15" hidden="false" customHeight="true" outlineLevel="0" collapsed="false">
      <c r="A26" s="13" t="s">
        <v>184</v>
      </c>
      <c r="B26" s="13"/>
      <c r="C26" s="13"/>
      <c r="D26" s="13"/>
      <c r="E26" s="19" t="n">
        <v>94</v>
      </c>
      <c r="F26" s="20" t="n">
        <v>0.077</v>
      </c>
      <c r="G26" s="19" t="n">
        <v>1121</v>
      </c>
      <c r="H26" s="20" t="n">
        <v>0.923</v>
      </c>
    </row>
    <row r="27" customFormat="false" ht="15" hidden="false" customHeight="true" outlineLevel="0" collapsed="false">
      <c r="A27" s="12" t="s">
        <v>185</v>
      </c>
      <c r="B27" s="12"/>
      <c r="C27" s="12"/>
      <c r="D27" s="12"/>
      <c r="E27" s="17" t="n">
        <v>190</v>
      </c>
      <c r="F27" s="18" t="n">
        <v>0.163</v>
      </c>
      <c r="G27" s="17" t="n">
        <v>974</v>
      </c>
      <c r="H27" s="18" t="n">
        <v>0.837</v>
      </c>
    </row>
    <row r="29" customFormat="false" ht="21.75" hidden="false" customHeight="true" outlineLevel="0" collapsed="false">
      <c r="A29" s="29" t="s">
        <v>186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1" customFormat="false" ht="21.75" hidden="false" customHeight="true" outlineLevel="0" collapsed="false">
      <c r="A31" s="8" t="s">
        <v>187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true" outlineLevel="0" collapsed="false">
      <c r="A32" s="23" t="s">
        <v>188</v>
      </c>
      <c r="B32" s="23"/>
      <c r="C32" s="23"/>
      <c r="D32" s="23"/>
      <c r="E32" s="16" t="s">
        <v>75</v>
      </c>
      <c r="F32" s="23" t="s">
        <v>189</v>
      </c>
      <c r="G32" s="23"/>
    </row>
    <row r="33" customFormat="false" ht="15" hidden="false" customHeight="true" outlineLevel="0" collapsed="false">
      <c r="A33" s="12" t="s">
        <v>190</v>
      </c>
      <c r="B33" s="12"/>
      <c r="C33" s="12"/>
      <c r="D33" s="12"/>
      <c r="E33" s="17" t="n">
        <v>6</v>
      </c>
      <c r="F33" s="18" t="n">
        <v>0.064</v>
      </c>
      <c r="G33" s="18"/>
    </row>
    <row r="34" customFormat="false" ht="15" hidden="false" customHeight="true" outlineLevel="0" collapsed="false">
      <c r="A34" s="13" t="s">
        <v>191</v>
      </c>
      <c r="B34" s="13"/>
      <c r="C34" s="13"/>
      <c r="D34" s="13"/>
      <c r="E34" s="19" t="n">
        <v>4</v>
      </c>
      <c r="F34" s="20" t="n">
        <v>0.043</v>
      </c>
      <c r="G34" s="20"/>
    </row>
    <row r="35" customFormat="false" ht="15" hidden="false" customHeight="true" outlineLevel="0" collapsed="false">
      <c r="A35" s="12" t="s">
        <v>192</v>
      </c>
      <c r="B35" s="12"/>
      <c r="C35" s="12"/>
      <c r="D35" s="12"/>
      <c r="E35" s="17" t="n">
        <v>4</v>
      </c>
      <c r="F35" s="18" t="n">
        <v>0.043</v>
      </c>
      <c r="G35" s="18"/>
    </row>
    <row r="36" customFormat="false" ht="15" hidden="false" customHeight="true" outlineLevel="0" collapsed="false">
      <c r="A36" s="13" t="s">
        <v>193</v>
      </c>
      <c r="B36" s="13"/>
      <c r="C36" s="13"/>
      <c r="D36" s="13"/>
      <c r="E36" s="19" t="n">
        <v>3</v>
      </c>
      <c r="F36" s="20" t="n">
        <v>0.032</v>
      </c>
      <c r="G36" s="20"/>
    </row>
    <row r="37" customFormat="false" ht="15" hidden="false" customHeight="true" outlineLevel="0" collapsed="false">
      <c r="A37" s="12" t="s">
        <v>194</v>
      </c>
      <c r="B37" s="12"/>
      <c r="C37" s="12"/>
      <c r="D37" s="12"/>
      <c r="E37" s="17" t="n">
        <v>3</v>
      </c>
      <c r="F37" s="18" t="n">
        <v>0.032</v>
      </c>
      <c r="G37" s="18"/>
    </row>
    <row r="38" customFormat="false" ht="15" hidden="false" customHeight="true" outlineLevel="0" collapsed="false">
      <c r="A38" s="13" t="s">
        <v>195</v>
      </c>
      <c r="B38" s="13"/>
      <c r="C38" s="13"/>
      <c r="D38" s="13"/>
      <c r="E38" s="19" t="n">
        <v>3</v>
      </c>
      <c r="F38" s="20" t="n">
        <v>0.032</v>
      </c>
      <c r="G38" s="20"/>
    </row>
    <row r="39" customFormat="false" ht="15" hidden="false" customHeight="true" outlineLevel="0" collapsed="false">
      <c r="A39" s="12" t="s">
        <v>196</v>
      </c>
      <c r="B39" s="12"/>
      <c r="C39" s="12"/>
      <c r="D39" s="12"/>
      <c r="E39" s="17" t="n">
        <v>2</v>
      </c>
      <c r="F39" s="18" t="n">
        <v>0.021</v>
      </c>
      <c r="G39" s="18"/>
    </row>
    <row r="40" customFormat="false" ht="15" hidden="false" customHeight="true" outlineLevel="0" collapsed="false">
      <c r="A40" s="13" t="s">
        <v>197</v>
      </c>
      <c r="B40" s="13"/>
      <c r="C40" s="13"/>
      <c r="D40" s="13"/>
      <c r="E40" s="19" t="n">
        <v>2</v>
      </c>
      <c r="F40" s="20" t="n">
        <v>0.021</v>
      </c>
      <c r="G40" s="20"/>
    </row>
    <row r="41" customFormat="false" ht="15" hidden="false" customHeight="true" outlineLevel="0" collapsed="false">
      <c r="A41" s="12" t="s">
        <v>198</v>
      </c>
      <c r="B41" s="12"/>
      <c r="C41" s="12"/>
      <c r="D41" s="12"/>
      <c r="E41" s="17" t="n">
        <v>2</v>
      </c>
      <c r="F41" s="18" t="n">
        <v>0.021</v>
      </c>
      <c r="G41" s="18"/>
    </row>
    <row r="42" customFormat="false" ht="15" hidden="false" customHeight="true" outlineLevel="0" collapsed="false">
      <c r="A42" s="13" t="s">
        <v>199</v>
      </c>
      <c r="B42" s="13"/>
      <c r="C42" s="13"/>
      <c r="D42" s="13"/>
      <c r="E42" s="19" t="n">
        <v>2</v>
      </c>
      <c r="F42" s="20" t="n">
        <v>0.021</v>
      </c>
      <c r="G42" s="20"/>
    </row>
    <row r="44" customFormat="false" ht="21.75" hidden="false" customHeight="true" outlineLevel="0" collapsed="false">
      <c r="A44" s="8" t="s">
        <v>200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true" outlineLevel="0" collapsed="false">
      <c r="A45" s="23" t="s">
        <v>201</v>
      </c>
      <c r="B45" s="23"/>
      <c r="C45" s="23"/>
      <c r="D45" s="16" t="s">
        <v>75</v>
      </c>
      <c r="E45" s="23" t="s">
        <v>202</v>
      </c>
      <c r="F45" s="23"/>
      <c r="G45" s="23"/>
    </row>
    <row r="46" customFormat="false" ht="15" hidden="false" customHeight="true" outlineLevel="0" collapsed="false">
      <c r="A46" s="12" t="s">
        <v>203</v>
      </c>
      <c r="B46" s="12"/>
      <c r="C46" s="12"/>
      <c r="D46" s="17" t="n">
        <v>146</v>
      </c>
      <c r="E46" s="18" t="n">
        <v>0.768</v>
      </c>
      <c r="F46" s="18"/>
      <c r="G46" s="18"/>
    </row>
    <row r="47" customFormat="false" ht="15" hidden="false" customHeight="true" outlineLevel="0" collapsed="false">
      <c r="A47" s="13" t="s">
        <v>204</v>
      </c>
      <c r="B47" s="13"/>
      <c r="C47" s="13"/>
      <c r="D47" s="19" t="n">
        <v>44</v>
      </c>
      <c r="E47" s="20" t="n">
        <v>0.232</v>
      </c>
      <c r="F47" s="20"/>
      <c r="G47" s="20"/>
    </row>
    <row r="49" customFormat="false" ht="15" hidden="false" customHeight="true" outlineLevel="0" collapsed="false">
      <c r="A49" s="30" t="s">
        <v>205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</sheetData>
  <mergeCells count="67">
    <mergeCell ref="A1:L1"/>
    <mergeCell ref="A3:L3"/>
    <mergeCell ref="A4:C4"/>
    <mergeCell ref="H4:L4"/>
    <mergeCell ref="A5:C5"/>
    <mergeCell ref="H5:L5"/>
    <mergeCell ref="A6:C6"/>
    <mergeCell ref="H6:L6"/>
    <mergeCell ref="A7:C7"/>
    <mergeCell ref="H7:L7"/>
    <mergeCell ref="A8:C8"/>
    <mergeCell ref="H8:L8"/>
    <mergeCell ref="A9:C9"/>
    <mergeCell ref="H9:L9"/>
    <mergeCell ref="A10:C10"/>
    <mergeCell ref="H10:L10"/>
    <mergeCell ref="A11:C11"/>
    <mergeCell ref="H11:L11"/>
    <mergeCell ref="A12:C12"/>
    <mergeCell ref="H12:L12"/>
    <mergeCell ref="A13:C13"/>
    <mergeCell ref="H13:L13"/>
    <mergeCell ref="A14:C14"/>
    <mergeCell ref="H14:L14"/>
    <mergeCell ref="A15:C15"/>
    <mergeCell ref="A17:L17"/>
    <mergeCell ref="A18:C18"/>
    <mergeCell ref="A19:C19"/>
    <mergeCell ref="A20:C20"/>
    <mergeCell ref="A21:C21"/>
    <mergeCell ref="A23:L23"/>
    <mergeCell ref="A24:D24"/>
    <mergeCell ref="A25:D25"/>
    <mergeCell ref="A26:D26"/>
    <mergeCell ref="A27:D27"/>
    <mergeCell ref="A29:L29"/>
    <mergeCell ref="A31:L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4:L44"/>
    <mergeCell ref="A45:C45"/>
    <mergeCell ref="E45:G45"/>
    <mergeCell ref="A46:C46"/>
    <mergeCell ref="E46:G46"/>
    <mergeCell ref="A47:C47"/>
    <mergeCell ref="E47:G47"/>
    <mergeCell ref="A49:L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0"/>
    <col collapsed="false" customWidth="true" hidden="false" outlineLevel="0" max="6" min="5" style="1" width="12"/>
    <col collapsed="false" customWidth="true" hidden="false" outlineLevel="0" max="7" min="7" style="1" width="18"/>
    <col collapsed="false" customWidth="true" hidden="false" outlineLevel="0" max="12" min="8" style="1" width="14"/>
  </cols>
  <sheetData>
    <row r="1" customFormat="false" ht="31.5" hidden="false" customHeight="true" outlineLevel="0" collapsed="false">
      <c r="A1" s="15" t="s">
        <v>206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8" t="s">
        <v>207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15" hidden="false" customHeight="true" outlineLevel="0" collapsed="false">
      <c r="A4" s="23" t="s">
        <v>208</v>
      </c>
      <c r="B4" s="23"/>
      <c r="C4" s="23"/>
      <c r="D4" s="16" t="s">
        <v>79</v>
      </c>
      <c r="E4" s="16" t="s">
        <v>154</v>
      </c>
      <c r="F4" s="16" t="s">
        <v>77</v>
      </c>
      <c r="G4" s="16" t="s">
        <v>209</v>
      </c>
      <c r="H4" s="16" t="s">
        <v>78</v>
      </c>
      <c r="I4" s="16" t="s">
        <v>210</v>
      </c>
      <c r="J4" s="23" t="s">
        <v>211</v>
      </c>
      <c r="K4" s="23"/>
      <c r="L4" s="23"/>
    </row>
    <row r="5" customFormat="false" ht="21.75" hidden="false" customHeight="true" outlineLevel="0" collapsed="false">
      <c r="A5" s="12" t="s">
        <v>212</v>
      </c>
      <c r="B5" s="12"/>
      <c r="C5" s="12"/>
      <c r="D5" s="17" t="n">
        <v>288</v>
      </c>
      <c r="E5" s="18" t="n">
        <v>0.23</v>
      </c>
      <c r="F5" s="17" t="n">
        <v>0</v>
      </c>
      <c r="G5" s="18" t="n">
        <v>0</v>
      </c>
      <c r="H5" s="17" t="n">
        <v>0</v>
      </c>
      <c r="I5" s="18" t="n">
        <v>0</v>
      </c>
      <c r="J5" s="12" t="s">
        <v>213</v>
      </c>
      <c r="K5" s="12"/>
      <c r="L5" s="12"/>
    </row>
    <row r="6" customFormat="false" ht="21.75" hidden="false" customHeight="true" outlineLevel="0" collapsed="false">
      <c r="A6" s="13" t="s">
        <v>214</v>
      </c>
      <c r="B6" s="13"/>
      <c r="C6" s="13"/>
      <c r="D6" s="19" t="n">
        <v>781</v>
      </c>
      <c r="E6" s="20" t="n">
        <v>0.623</v>
      </c>
      <c r="F6" s="19" t="n">
        <v>0</v>
      </c>
      <c r="G6" s="20" t="n">
        <v>0</v>
      </c>
      <c r="H6" s="19" t="n">
        <v>0</v>
      </c>
      <c r="I6" s="20" t="n">
        <v>0</v>
      </c>
      <c r="J6" s="13" t="s">
        <v>215</v>
      </c>
      <c r="K6" s="13"/>
      <c r="L6" s="13"/>
    </row>
    <row r="7" customFormat="false" ht="21.75" hidden="false" customHeight="true" outlineLevel="0" collapsed="false">
      <c r="A7" s="12" t="s">
        <v>216</v>
      </c>
      <c r="B7" s="12"/>
      <c r="C7" s="12"/>
      <c r="D7" s="17" t="n">
        <v>148</v>
      </c>
      <c r="E7" s="18" t="n">
        <v>0.118</v>
      </c>
      <c r="F7" s="17" t="n">
        <v>0</v>
      </c>
      <c r="G7" s="18" t="n">
        <v>0</v>
      </c>
      <c r="H7" s="17" t="n">
        <v>0</v>
      </c>
      <c r="I7" s="18" t="n">
        <v>0</v>
      </c>
      <c r="J7" s="12" t="s">
        <v>217</v>
      </c>
      <c r="K7" s="12"/>
      <c r="L7" s="12"/>
    </row>
    <row r="8" customFormat="false" ht="21.75" hidden="false" customHeight="true" outlineLevel="0" collapsed="false">
      <c r="A8" s="13" t="s">
        <v>218</v>
      </c>
      <c r="B8" s="13"/>
      <c r="C8" s="13"/>
      <c r="D8" s="19" t="n">
        <v>37</v>
      </c>
      <c r="E8" s="20" t="n">
        <v>0.03</v>
      </c>
      <c r="F8" s="19" t="n">
        <v>0</v>
      </c>
      <c r="G8" s="20" t="n">
        <v>0</v>
      </c>
      <c r="H8" s="19" t="n">
        <v>0</v>
      </c>
      <c r="I8" s="20" t="n">
        <v>0</v>
      </c>
      <c r="J8" s="13" t="s">
        <v>219</v>
      </c>
      <c r="K8" s="13"/>
      <c r="L8" s="13"/>
    </row>
    <row r="9" customFormat="false" ht="15" hidden="false" customHeight="true" outlineLevel="0" collapsed="false">
      <c r="A9" s="11" t="s">
        <v>88</v>
      </c>
      <c r="B9" s="11"/>
      <c r="C9" s="11"/>
      <c r="D9" s="21" t="n">
        <v>1254</v>
      </c>
      <c r="E9" s="28"/>
      <c r="F9" s="21" t="n">
        <v>753</v>
      </c>
      <c r="G9" s="28"/>
      <c r="H9" s="21" t="n">
        <v>501</v>
      </c>
      <c r="I9" s="28"/>
      <c r="J9" s="28"/>
      <c r="K9" s="28"/>
      <c r="L9" s="28"/>
    </row>
    <row r="11" customFormat="false" ht="21.75" hidden="false" customHeight="true" outlineLevel="0" collapsed="false">
      <c r="A11" s="8" t="s">
        <v>220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26.25" hidden="false" customHeight="true" outlineLevel="0" collapsed="false">
      <c r="A12" s="23" t="s">
        <v>221</v>
      </c>
      <c r="B12" s="23"/>
      <c r="C12" s="23"/>
      <c r="D12" s="23"/>
      <c r="E12" s="16" t="s">
        <v>75</v>
      </c>
      <c r="F12" s="16" t="s">
        <v>222</v>
      </c>
      <c r="G12" s="23" t="s">
        <v>223</v>
      </c>
      <c r="H12" s="23"/>
      <c r="I12" s="23"/>
      <c r="J12" s="23"/>
      <c r="K12" s="23"/>
      <c r="L12" s="23"/>
    </row>
    <row r="13" customFormat="false" ht="19.5" hidden="false" customHeight="true" outlineLevel="0" collapsed="false">
      <c r="A13" s="12" t="s">
        <v>224</v>
      </c>
      <c r="B13" s="12"/>
      <c r="C13" s="12"/>
      <c r="D13" s="12"/>
      <c r="E13" s="17" t="n">
        <v>159</v>
      </c>
      <c r="F13" s="18" t="n">
        <v>0.552</v>
      </c>
      <c r="G13" s="12" t="s">
        <v>225</v>
      </c>
      <c r="H13" s="12"/>
      <c r="I13" s="12"/>
      <c r="J13" s="12"/>
      <c r="K13" s="12"/>
      <c r="L13" s="12"/>
    </row>
    <row r="14" customFormat="false" ht="19.5" hidden="false" customHeight="true" outlineLevel="0" collapsed="false">
      <c r="A14" s="13" t="s">
        <v>226</v>
      </c>
      <c r="B14" s="13"/>
      <c r="C14" s="13"/>
      <c r="D14" s="13"/>
      <c r="E14" s="19" t="n">
        <v>66</v>
      </c>
      <c r="F14" s="20" t="n">
        <v>0.229</v>
      </c>
      <c r="G14" s="13" t="s">
        <v>227</v>
      </c>
      <c r="H14" s="13"/>
      <c r="I14" s="13"/>
      <c r="J14" s="13"/>
      <c r="K14" s="13"/>
      <c r="L14" s="13"/>
    </row>
    <row r="15" customFormat="false" ht="19.5" hidden="false" customHeight="true" outlineLevel="0" collapsed="false">
      <c r="A15" s="12" t="s">
        <v>228</v>
      </c>
      <c r="B15" s="12"/>
      <c r="C15" s="12"/>
      <c r="D15" s="12"/>
      <c r="E15" s="17" t="n">
        <v>59</v>
      </c>
      <c r="F15" s="18" t="n">
        <v>0.205</v>
      </c>
      <c r="G15" s="12" t="s">
        <v>229</v>
      </c>
      <c r="H15" s="12"/>
      <c r="I15" s="12"/>
      <c r="J15" s="12"/>
      <c r="K15" s="12"/>
      <c r="L15" s="12"/>
    </row>
    <row r="16" customFormat="false" ht="19.5" hidden="false" customHeight="true" outlineLevel="0" collapsed="false">
      <c r="A16" s="13" t="s">
        <v>230</v>
      </c>
      <c r="B16" s="13"/>
      <c r="C16" s="13"/>
      <c r="D16" s="13"/>
      <c r="E16" s="19" t="n">
        <v>4</v>
      </c>
      <c r="F16" s="20" t="n">
        <v>0.014</v>
      </c>
      <c r="G16" s="13" t="s">
        <v>231</v>
      </c>
      <c r="H16" s="13"/>
      <c r="I16" s="13"/>
      <c r="J16" s="13"/>
      <c r="K16" s="13"/>
      <c r="L16" s="13"/>
    </row>
    <row r="18" customFormat="false" ht="21.75" hidden="false" customHeight="true" outlineLevel="0" collapsed="false">
      <c r="A18" s="8" t="s">
        <v>232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26.25" hidden="false" customHeight="true" outlineLevel="0" collapsed="false">
      <c r="A19" s="23" t="s">
        <v>233</v>
      </c>
      <c r="B19" s="23"/>
      <c r="C19" s="23"/>
      <c r="D19" s="16" t="s">
        <v>75</v>
      </c>
      <c r="E19" s="16" t="s">
        <v>222</v>
      </c>
      <c r="F19" s="16" t="s">
        <v>234</v>
      </c>
      <c r="G19" s="23" t="s">
        <v>235</v>
      </c>
      <c r="H19" s="23"/>
      <c r="I19" s="23"/>
      <c r="J19" s="23"/>
      <c r="K19" s="23"/>
      <c r="L19" s="23"/>
    </row>
    <row r="20" customFormat="false" ht="18" hidden="false" customHeight="true" outlineLevel="0" collapsed="false">
      <c r="A20" s="12" t="s">
        <v>236</v>
      </c>
      <c r="B20" s="12"/>
      <c r="C20" s="12"/>
      <c r="D20" s="17" t="n">
        <v>1</v>
      </c>
      <c r="E20" s="18" t="n">
        <v>0.004</v>
      </c>
      <c r="F20" s="17" t="n">
        <v>2500</v>
      </c>
      <c r="G20" s="12" t="s">
        <v>237</v>
      </c>
      <c r="H20" s="12"/>
      <c r="I20" s="12"/>
      <c r="J20" s="12"/>
      <c r="K20" s="12"/>
      <c r="L20" s="12"/>
    </row>
    <row r="21" customFormat="false" ht="18" hidden="false" customHeight="true" outlineLevel="0" collapsed="false">
      <c r="A21" s="13" t="s">
        <v>238</v>
      </c>
      <c r="B21" s="13"/>
      <c r="C21" s="13"/>
      <c r="D21" s="19" t="n">
        <v>25</v>
      </c>
      <c r="E21" s="20" t="n">
        <v>0.089</v>
      </c>
      <c r="F21" s="19" t="n">
        <v>7500</v>
      </c>
      <c r="G21" s="13" t="s">
        <v>239</v>
      </c>
      <c r="H21" s="13"/>
      <c r="I21" s="13"/>
      <c r="J21" s="13"/>
      <c r="K21" s="13"/>
      <c r="L21" s="13"/>
    </row>
    <row r="22" customFormat="false" ht="18" hidden="false" customHeight="true" outlineLevel="0" collapsed="false">
      <c r="A22" s="12" t="s">
        <v>240</v>
      </c>
      <c r="B22" s="12"/>
      <c r="C22" s="12"/>
      <c r="D22" s="17" t="n">
        <v>48</v>
      </c>
      <c r="E22" s="18" t="n">
        <v>0.17</v>
      </c>
      <c r="F22" s="17" t="n">
        <v>12500</v>
      </c>
      <c r="G22" s="12" t="s">
        <v>241</v>
      </c>
      <c r="H22" s="12"/>
      <c r="I22" s="12"/>
      <c r="J22" s="12"/>
      <c r="K22" s="12"/>
      <c r="L22" s="12"/>
    </row>
    <row r="23" customFormat="false" ht="18" hidden="false" customHeight="true" outlineLevel="0" collapsed="false">
      <c r="A23" s="13" t="s">
        <v>242</v>
      </c>
      <c r="B23" s="13"/>
      <c r="C23" s="13"/>
      <c r="D23" s="19" t="n">
        <v>78</v>
      </c>
      <c r="E23" s="20" t="n">
        <v>0.277</v>
      </c>
      <c r="F23" s="19" t="n">
        <v>17500</v>
      </c>
      <c r="G23" s="13" t="s">
        <v>243</v>
      </c>
      <c r="H23" s="13"/>
      <c r="I23" s="13"/>
      <c r="J23" s="13"/>
      <c r="K23" s="13"/>
      <c r="L23" s="13"/>
    </row>
    <row r="24" customFormat="false" ht="18" hidden="false" customHeight="true" outlineLevel="0" collapsed="false">
      <c r="A24" s="12" t="s">
        <v>244</v>
      </c>
      <c r="B24" s="12"/>
      <c r="C24" s="12"/>
      <c r="D24" s="17" t="n">
        <v>55</v>
      </c>
      <c r="E24" s="18" t="n">
        <v>0.195</v>
      </c>
      <c r="F24" s="17" t="n">
        <v>22500</v>
      </c>
      <c r="G24" s="12" t="s">
        <v>245</v>
      </c>
      <c r="H24" s="12"/>
      <c r="I24" s="12"/>
      <c r="J24" s="12"/>
      <c r="K24" s="12"/>
      <c r="L24" s="12"/>
    </row>
    <row r="25" customFormat="false" ht="18" hidden="false" customHeight="true" outlineLevel="0" collapsed="false">
      <c r="A25" s="13" t="s">
        <v>246</v>
      </c>
      <c r="B25" s="13"/>
      <c r="C25" s="13"/>
      <c r="D25" s="19" t="n">
        <v>31</v>
      </c>
      <c r="E25" s="20" t="n">
        <v>0.11</v>
      </c>
      <c r="F25" s="19" t="n">
        <v>27500</v>
      </c>
      <c r="G25" s="13" t="s">
        <v>247</v>
      </c>
      <c r="H25" s="13"/>
      <c r="I25" s="13"/>
      <c r="J25" s="13"/>
      <c r="K25" s="13"/>
      <c r="L25" s="13"/>
    </row>
    <row r="26" customFormat="false" ht="18" hidden="false" customHeight="true" outlineLevel="0" collapsed="false">
      <c r="A26" s="12" t="s">
        <v>248</v>
      </c>
      <c r="B26" s="12"/>
      <c r="C26" s="12"/>
      <c r="D26" s="17" t="n">
        <v>18</v>
      </c>
      <c r="E26" s="18" t="n">
        <v>0.064</v>
      </c>
      <c r="F26" s="17" t="n">
        <v>32500</v>
      </c>
      <c r="G26" s="12" t="s">
        <v>249</v>
      </c>
      <c r="H26" s="12"/>
      <c r="I26" s="12"/>
      <c r="J26" s="12"/>
      <c r="K26" s="12"/>
      <c r="L26" s="12"/>
    </row>
    <row r="27" customFormat="false" ht="18" hidden="false" customHeight="true" outlineLevel="0" collapsed="false">
      <c r="A27" s="13" t="s">
        <v>250</v>
      </c>
      <c r="B27" s="13"/>
      <c r="C27" s="13"/>
      <c r="D27" s="19" t="n">
        <v>26</v>
      </c>
      <c r="E27" s="20" t="n">
        <v>0.092</v>
      </c>
      <c r="F27" s="19" t="n">
        <v>37500</v>
      </c>
      <c r="G27" s="13" t="s">
        <v>251</v>
      </c>
      <c r="H27" s="13"/>
      <c r="I27" s="13"/>
      <c r="J27" s="13"/>
      <c r="K27" s="13"/>
      <c r="L27" s="13"/>
    </row>
    <row r="28" customFormat="false" ht="18" hidden="false" customHeight="true" outlineLevel="0" collapsed="false">
      <c r="A28" s="12" t="s">
        <v>95</v>
      </c>
      <c r="B28" s="12"/>
      <c r="C28" s="12"/>
      <c r="D28" s="17" t="n">
        <v>6</v>
      </c>
      <c r="E28" s="18" t="n">
        <v>0.021</v>
      </c>
      <c r="F28" s="17" t="s">
        <v>252</v>
      </c>
      <c r="G28" s="12" t="s">
        <v>253</v>
      </c>
      <c r="H28" s="12"/>
      <c r="I28" s="12"/>
      <c r="J28" s="12"/>
      <c r="K28" s="12"/>
      <c r="L28" s="12"/>
    </row>
    <row r="30" customFormat="false" ht="21.75" hidden="false" customHeight="true" outlineLevel="0" collapsed="false">
      <c r="A30" s="8" t="s">
        <v>254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" hidden="false" customHeight="true" outlineLevel="0" collapsed="false">
      <c r="A31" s="23" t="s">
        <v>255</v>
      </c>
      <c r="B31" s="23"/>
      <c r="C31" s="23"/>
      <c r="D31" s="16" t="s">
        <v>256</v>
      </c>
      <c r="E31" s="16" t="s">
        <v>257</v>
      </c>
      <c r="F31" s="23" t="s">
        <v>258</v>
      </c>
      <c r="G31" s="23"/>
      <c r="H31" s="23"/>
      <c r="I31" s="23"/>
      <c r="J31" s="16" t="s">
        <v>256</v>
      </c>
      <c r="K31" s="16" t="s">
        <v>257</v>
      </c>
    </row>
    <row r="32" customFormat="false" ht="18" hidden="false" customHeight="true" outlineLevel="0" collapsed="false">
      <c r="A32" s="12" t="s">
        <v>236</v>
      </c>
      <c r="B32" s="12"/>
      <c r="C32" s="12"/>
      <c r="D32" s="17" t="n">
        <v>9</v>
      </c>
      <c r="E32" s="18" t="n">
        <v>0.008</v>
      </c>
      <c r="F32" s="12" t="s">
        <v>236</v>
      </c>
      <c r="G32" s="12"/>
      <c r="H32" s="12"/>
      <c r="I32" s="12"/>
      <c r="J32" s="17" t="n">
        <v>62</v>
      </c>
      <c r="K32" s="18" t="n">
        <v>0.057</v>
      </c>
    </row>
    <row r="33" customFormat="false" ht="18" hidden="false" customHeight="true" outlineLevel="0" collapsed="false">
      <c r="A33" s="13" t="s">
        <v>259</v>
      </c>
      <c r="B33" s="13"/>
      <c r="C33" s="13"/>
      <c r="D33" s="19" t="n">
        <v>23</v>
      </c>
      <c r="E33" s="20" t="n">
        <v>0.02</v>
      </c>
      <c r="F33" s="13" t="s">
        <v>260</v>
      </c>
      <c r="G33" s="13"/>
      <c r="H33" s="13"/>
      <c r="I33" s="13"/>
      <c r="J33" s="19" t="n">
        <v>330</v>
      </c>
      <c r="K33" s="20" t="n">
        <v>0.301</v>
      </c>
    </row>
    <row r="34" customFormat="false" ht="18" hidden="false" customHeight="true" outlineLevel="0" collapsed="false">
      <c r="A34" s="12" t="s">
        <v>261</v>
      </c>
      <c r="B34" s="12"/>
      <c r="C34" s="12"/>
      <c r="D34" s="17" t="n">
        <v>72</v>
      </c>
      <c r="E34" s="18" t="n">
        <v>0.063</v>
      </c>
      <c r="F34" s="12" t="s">
        <v>261</v>
      </c>
      <c r="G34" s="12"/>
      <c r="H34" s="12"/>
      <c r="I34" s="12"/>
      <c r="J34" s="17" t="n">
        <v>230</v>
      </c>
      <c r="K34" s="18" t="n">
        <v>0.21</v>
      </c>
    </row>
    <row r="35" customFormat="false" ht="18" hidden="false" customHeight="true" outlineLevel="0" collapsed="false">
      <c r="A35" s="13" t="s">
        <v>262</v>
      </c>
      <c r="B35" s="13"/>
      <c r="C35" s="13"/>
      <c r="D35" s="19" t="n">
        <v>232</v>
      </c>
      <c r="E35" s="20" t="n">
        <v>0.202</v>
      </c>
      <c r="F35" s="13" t="s">
        <v>262</v>
      </c>
      <c r="G35" s="13"/>
      <c r="H35" s="13"/>
      <c r="I35" s="13"/>
      <c r="J35" s="19" t="n">
        <v>254</v>
      </c>
      <c r="K35" s="20" t="n">
        <v>0.232</v>
      </c>
    </row>
    <row r="36" customFormat="false" ht="18" hidden="false" customHeight="true" outlineLevel="0" collapsed="false">
      <c r="A36" s="12" t="s">
        <v>263</v>
      </c>
      <c r="B36" s="12"/>
      <c r="C36" s="12"/>
      <c r="D36" s="17" t="n">
        <v>290</v>
      </c>
      <c r="E36" s="18" t="n">
        <v>0.253</v>
      </c>
      <c r="F36" s="12" t="s">
        <v>263</v>
      </c>
      <c r="G36" s="12"/>
      <c r="H36" s="12"/>
      <c r="I36" s="12"/>
      <c r="J36" s="17" t="n">
        <v>114</v>
      </c>
      <c r="K36" s="18" t="n">
        <v>0.104</v>
      </c>
    </row>
    <row r="37" customFormat="false" ht="18" hidden="false" customHeight="true" outlineLevel="0" collapsed="false">
      <c r="A37" s="13" t="s">
        <v>264</v>
      </c>
      <c r="B37" s="13"/>
      <c r="C37" s="13"/>
      <c r="D37" s="19" t="n">
        <v>222</v>
      </c>
      <c r="E37" s="20" t="n">
        <v>0.194</v>
      </c>
      <c r="F37" s="13" t="s">
        <v>264</v>
      </c>
      <c r="G37" s="13"/>
      <c r="H37" s="13"/>
      <c r="I37" s="13"/>
      <c r="J37" s="19" t="n">
        <v>57</v>
      </c>
      <c r="K37" s="20" t="n">
        <v>0.052</v>
      </c>
    </row>
    <row r="38" customFormat="false" ht="18" hidden="false" customHeight="true" outlineLevel="0" collapsed="false">
      <c r="A38" s="12" t="s">
        <v>265</v>
      </c>
      <c r="B38" s="12"/>
      <c r="C38" s="12"/>
      <c r="D38" s="17" t="n">
        <v>103</v>
      </c>
      <c r="E38" s="18" t="n">
        <v>0.09</v>
      </c>
      <c r="F38" s="12" t="s">
        <v>265</v>
      </c>
      <c r="G38" s="12"/>
      <c r="H38" s="12"/>
      <c r="I38" s="12"/>
      <c r="J38" s="17" t="s">
        <v>252</v>
      </c>
      <c r="K38" s="18" t="n">
        <v>0</v>
      </c>
    </row>
    <row r="39" customFormat="false" ht="18" hidden="false" customHeight="true" outlineLevel="0" collapsed="false">
      <c r="A39" s="13" t="s">
        <v>250</v>
      </c>
      <c r="B39" s="13"/>
      <c r="C39" s="13"/>
      <c r="D39" s="19" t="n">
        <v>195</v>
      </c>
      <c r="E39" s="20" t="n">
        <v>0.17</v>
      </c>
      <c r="F39" s="13" t="s">
        <v>250</v>
      </c>
      <c r="G39" s="13"/>
      <c r="H39" s="13"/>
      <c r="I39" s="13"/>
      <c r="J39" s="19" t="n">
        <v>48</v>
      </c>
      <c r="K39" s="20" t="n">
        <v>0.044</v>
      </c>
    </row>
    <row r="41" customFormat="false" ht="21.75" hidden="false" customHeight="true" outlineLevel="0" collapsed="false">
      <c r="A41" s="8" t="s">
        <v>266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26.25" hidden="false" customHeight="true" outlineLevel="0" collapsed="false">
      <c r="A42" s="23" t="s">
        <v>267</v>
      </c>
      <c r="B42" s="23"/>
      <c r="C42" s="23"/>
      <c r="D42" s="16" t="s">
        <v>75</v>
      </c>
      <c r="E42" s="16" t="s">
        <v>222</v>
      </c>
      <c r="F42" s="23" t="s">
        <v>211</v>
      </c>
      <c r="G42" s="23"/>
      <c r="H42" s="23"/>
      <c r="I42" s="23"/>
      <c r="J42" s="23"/>
      <c r="K42" s="23"/>
      <c r="L42" s="23"/>
    </row>
    <row r="43" customFormat="false" ht="18" hidden="false" customHeight="true" outlineLevel="0" collapsed="false">
      <c r="A43" s="12" t="s">
        <v>268</v>
      </c>
      <c r="B43" s="12"/>
      <c r="C43" s="12"/>
      <c r="D43" s="17" t="n">
        <v>103</v>
      </c>
      <c r="E43" s="18" t="n">
        <v>0.358</v>
      </c>
      <c r="F43" s="12" t="s">
        <v>269</v>
      </c>
      <c r="G43" s="12"/>
      <c r="H43" s="12"/>
      <c r="I43" s="12"/>
      <c r="J43" s="12"/>
      <c r="K43" s="12"/>
      <c r="L43" s="12"/>
    </row>
    <row r="44" customFormat="false" ht="18" hidden="false" customHeight="true" outlineLevel="0" collapsed="false">
      <c r="A44" s="13" t="s">
        <v>270</v>
      </c>
      <c r="B44" s="13"/>
      <c r="C44" s="13"/>
      <c r="D44" s="19" t="n">
        <v>93</v>
      </c>
      <c r="E44" s="20" t="n">
        <v>0.323</v>
      </c>
      <c r="F44" s="13" t="s">
        <v>271</v>
      </c>
      <c r="G44" s="13"/>
      <c r="H44" s="13"/>
      <c r="I44" s="13"/>
      <c r="J44" s="13"/>
      <c r="K44" s="13"/>
      <c r="L44" s="13"/>
    </row>
    <row r="45" customFormat="false" ht="18" hidden="false" customHeight="true" outlineLevel="0" collapsed="false">
      <c r="A45" s="12" t="s">
        <v>272</v>
      </c>
      <c r="B45" s="12"/>
      <c r="C45" s="12"/>
      <c r="D45" s="17" t="n">
        <v>72</v>
      </c>
      <c r="E45" s="18" t="n">
        <v>0.25</v>
      </c>
      <c r="F45" s="12" t="s">
        <v>273</v>
      </c>
      <c r="G45" s="12"/>
      <c r="H45" s="12"/>
      <c r="I45" s="12"/>
      <c r="J45" s="12"/>
      <c r="K45" s="12"/>
      <c r="L45" s="12"/>
    </row>
    <row r="46" customFormat="false" ht="18" hidden="false" customHeight="true" outlineLevel="0" collapsed="false">
      <c r="A46" s="13" t="s">
        <v>274</v>
      </c>
      <c r="B46" s="13"/>
      <c r="C46" s="13"/>
      <c r="D46" s="19" t="n">
        <v>134</v>
      </c>
      <c r="E46" s="20" t="n">
        <v>0.465</v>
      </c>
      <c r="F46" s="13" t="s">
        <v>275</v>
      </c>
      <c r="G46" s="13"/>
      <c r="H46" s="13"/>
      <c r="I46" s="13"/>
      <c r="J46" s="13"/>
      <c r="K46" s="13"/>
      <c r="L46" s="13"/>
    </row>
    <row r="48" customFormat="false" ht="21.75" hidden="false" customHeight="true" outlineLevel="0" collapsed="false">
      <c r="A48" s="8" t="s">
        <v>276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true" outlineLevel="0" collapsed="false">
      <c r="A49" s="23" t="s">
        <v>277</v>
      </c>
      <c r="B49" s="23"/>
      <c r="C49" s="23"/>
      <c r="D49" s="23"/>
      <c r="E49" s="16" t="s">
        <v>75</v>
      </c>
      <c r="F49" s="16" t="s">
        <v>278</v>
      </c>
    </row>
    <row r="50" customFormat="false" ht="15" hidden="false" customHeight="true" outlineLevel="0" collapsed="false">
      <c r="A50" s="12" t="s">
        <v>279</v>
      </c>
      <c r="B50" s="12"/>
      <c r="C50" s="12"/>
      <c r="D50" s="12"/>
      <c r="E50" s="17" t="n">
        <v>185</v>
      </c>
      <c r="F50" s="31" t="n">
        <v>1</v>
      </c>
    </row>
    <row r="51" customFormat="false" ht="15" hidden="false" customHeight="true" outlineLevel="0" collapsed="false">
      <c r="A51" s="13" t="s">
        <v>280</v>
      </c>
      <c r="B51" s="13"/>
      <c r="C51" s="13"/>
      <c r="D51" s="13"/>
      <c r="E51" s="19" t="n">
        <v>100</v>
      </c>
      <c r="F51" s="32" t="n">
        <v>2</v>
      </c>
    </row>
    <row r="52" customFormat="false" ht="15" hidden="false" customHeight="true" outlineLevel="0" collapsed="false">
      <c r="A52" s="12" t="s">
        <v>281</v>
      </c>
      <c r="B52" s="12"/>
      <c r="C52" s="12"/>
      <c r="D52" s="12"/>
      <c r="E52" s="17" t="n">
        <v>86</v>
      </c>
      <c r="F52" s="31" t="n">
        <v>3</v>
      </c>
    </row>
    <row r="53" customFormat="false" ht="15" hidden="false" customHeight="true" outlineLevel="0" collapsed="false">
      <c r="A53" s="13" t="s">
        <v>282</v>
      </c>
      <c r="B53" s="13"/>
      <c r="C53" s="13"/>
      <c r="D53" s="13"/>
      <c r="E53" s="19" t="n">
        <v>53</v>
      </c>
      <c r="F53" s="32" t="n">
        <v>4</v>
      </c>
    </row>
    <row r="54" customFormat="false" ht="15" hidden="false" customHeight="true" outlineLevel="0" collapsed="false">
      <c r="A54" s="12" t="s">
        <v>283</v>
      </c>
      <c r="B54" s="12"/>
      <c r="C54" s="12"/>
      <c r="D54" s="12"/>
      <c r="E54" s="17" t="n">
        <v>46</v>
      </c>
      <c r="F54" s="31" t="n">
        <v>5</v>
      </c>
    </row>
    <row r="55" customFormat="false" ht="15" hidden="false" customHeight="true" outlineLevel="0" collapsed="false">
      <c r="A55" s="13" t="s">
        <v>284</v>
      </c>
      <c r="B55" s="13"/>
      <c r="C55" s="13"/>
      <c r="D55" s="13"/>
      <c r="E55" s="19" t="n">
        <v>43</v>
      </c>
      <c r="F55" s="32" t="n">
        <v>6</v>
      </c>
    </row>
    <row r="56" customFormat="false" ht="15" hidden="false" customHeight="true" outlineLevel="0" collapsed="false">
      <c r="A56" s="12" t="s">
        <v>285</v>
      </c>
      <c r="B56" s="12"/>
      <c r="C56" s="12"/>
      <c r="D56" s="12"/>
      <c r="E56" s="17" t="n">
        <v>42</v>
      </c>
      <c r="F56" s="31" t="n">
        <v>7</v>
      </c>
    </row>
    <row r="57" customFormat="false" ht="15" hidden="false" customHeight="true" outlineLevel="0" collapsed="false">
      <c r="A57" s="13" t="s">
        <v>286</v>
      </c>
      <c r="B57" s="13"/>
      <c r="C57" s="13"/>
      <c r="D57" s="13"/>
      <c r="E57" s="19" t="n">
        <v>34</v>
      </c>
      <c r="F57" s="32" t="n">
        <v>8</v>
      </c>
    </row>
    <row r="58" customFormat="false" ht="15" hidden="false" customHeight="true" outlineLevel="0" collapsed="false">
      <c r="A58" s="12" t="s">
        <v>287</v>
      </c>
      <c r="B58" s="12"/>
      <c r="C58" s="12"/>
      <c r="D58" s="12"/>
      <c r="E58" s="17" t="n">
        <v>33</v>
      </c>
      <c r="F58" s="31" t="n">
        <v>9</v>
      </c>
    </row>
    <row r="59" customFormat="false" ht="15" hidden="false" customHeight="true" outlineLevel="0" collapsed="false">
      <c r="A59" s="13" t="s">
        <v>288</v>
      </c>
      <c r="B59" s="13"/>
      <c r="C59" s="13"/>
      <c r="D59" s="13"/>
      <c r="E59" s="19" t="n">
        <v>28</v>
      </c>
      <c r="F59" s="32" t="n">
        <v>10</v>
      </c>
    </row>
    <row r="60" customFormat="false" ht="15" hidden="false" customHeight="true" outlineLevel="0" collapsed="false">
      <c r="A60" s="12" t="s">
        <v>289</v>
      </c>
      <c r="B60" s="12"/>
      <c r="C60" s="12"/>
      <c r="D60" s="12"/>
      <c r="E60" s="17" t="n">
        <v>23</v>
      </c>
      <c r="F60" s="31" t="n">
        <v>11</v>
      </c>
    </row>
    <row r="61" customFormat="false" ht="15" hidden="false" customHeight="true" outlineLevel="0" collapsed="false">
      <c r="A61" s="13" t="s">
        <v>290</v>
      </c>
      <c r="B61" s="13"/>
      <c r="C61" s="13"/>
      <c r="D61" s="13"/>
      <c r="E61" s="19" t="n">
        <v>19</v>
      </c>
      <c r="F61" s="32" t="n">
        <v>12</v>
      </c>
    </row>
    <row r="62" customFormat="false" ht="15" hidden="false" customHeight="true" outlineLevel="0" collapsed="false">
      <c r="A62" s="12" t="s">
        <v>291</v>
      </c>
      <c r="B62" s="12"/>
      <c r="C62" s="12"/>
      <c r="D62" s="12"/>
      <c r="E62" s="17" t="n">
        <v>14</v>
      </c>
      <c r="F62" s="31" t="n">
        <v>13</v>
      </c>
    </row>
  </sheetData>
  <mergeCells count="90">
    <mergeCell ref="A1:L1"/>
    <mergeCell ref="A3:L3"/>
    <mergeCell ref="A4:C4"/>
    <mergeCell ref="J4:L4"/>
    <mergeCell ref="A5:C5"/>
    <mergeCell ref="J5:L5"/>
    <mergeCell ref="A6:C6"/>
    <mergeCell ref="J6:L6"/>
    <mergeCell ref="A7:C7"/>
    <mergeCell ref="J7:L7"/>
    <mergeCell ref="A8:C8"/>
    <mergeCell ref="J8:L8"/>
    <mergeCell ref="A9:C9"/>
    <mergeCell ref="A11:L11"/>
    <mergeCell ref="A12:D12"/>
    <mergeCell ref="G12:L12"/>
    <mergeCell ref="A13:D13"/>
    <mergeCell ref="G13:L13"/>
    <mergeCell ref="A14:D14"/>
    <mergeCell ref="G14:L14"/>
    <mergeCell ref="A15:D15"/>
    <mergeCell ref="G15:L15"/>
    <mergeCell ref="A16:D16"/>
    <mergeCell ref="G16:L16"/>
    <mergeCell ref="A18:L18"/>
    <mergeCell ref="A19:C19"/>
    <mergeCell ref="G19:L19"/>
    <mergeCell ref="A20:C20"/>
    <mergeCell ref="G20:L20"/>
    <mergeCell ref="A21:C21"/>
    <mergeCell ref="G21:L21"/>
    <mergeCell ref="A22:C22"/>
    <mergeCell ref="G22:L22"/>
    <mergeCell ref="A23:C23"/>
    <mergeCell ref="G23:L23"/>
    <mergeCell ref="A24:C24"/>
    <mergeCell ref="G24:L24"/>
    <mergeCell ref="A25:C25"/>
    <mergeCell ref="G25:L25"/>
    <mergeCell ref="A26:C26"/>
    <mergeCell ref="G26:L26"/>
    <mergeCell ref="A27:C27"/>
    <mergeCell ref="G27:L27"/>
    <mergeCell ref="A28:C28"/>
    <mergeCell ref="G28:L28"/>
    <mergeCell ref="A30:L30"/>
    <mergeCell ref="A31:C31"/>
    <mergeCell ref="F31:I31"/>
    <mergeCell ref="A32:C32"/>
    <mergeCell ref="F32:I32"/>
    <mergeCell ref="A33:C33"/>
    <mergeCell ref="F33:I33"/>
    <mergeCell ref="A34:C34"/>
    <mergeCell ref="F34:I34"/>
    <mergeCell ref="A35:C35"/>
    <mergeCell ref="F35:I35"/>
    <mergeCell ref="A36:C36"/>
    <mergeCell ref="F36:I36"/>
    <mergeCell ref="A37:C37"/>
    <mergeCell ref="F37:I37"/>
    <mergeCell ref="A38:C38"/>
    <mergeCell ref="F38:I38"/>
    <mergeCell ref="A39:C39"/>
    <mergeCell ref="F39:I39"/>
    <mergeCell ref="A41:L41"/>
    <mergeCell ref="A42:C42"/>
    <mergeCell ref="F42:L42"/>
    <mergeCell ref="A43:C43"/>
    <mergeCell ref="F43:L43"/>
    <mergeCell ref="A44:C44"/>
    <mergeCell ref="F44:L44"/>
    <mergeCell ref="A45:C45"/>
    <mergeCell ref="F45:L45"/>
    <mergeCell ref="A46:C46"/>
    <mergeCell ref="F46:L46"/>
    <mergeCell ref="A48:L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5" min="3" style="1" width="1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2" min="10" style="1" width="12"/>
  </cols>
  <sheetData>
    <row r="1" customFormat="false" ht="31.5" hidden="false" customHeight="true" outlineLevel="0" collapsed="false">
      <c r="A1" s="15" t="s">
        <v>292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8" t="s">
        <v>293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15" hidden="false" customHeight="true" outlineLevel="0" collapsed="false">
      <c r="A4" s="16" t="s">
        <v>278</v>
      </c>
      <c r="B4" s="23" t="s">
        <v>294</v>
      </c>
      <c r="C4" s="23"/>
      <c r="D4" s="23"/>
      <c r="E4" s="23"/>
      <c r="F4" s="16" t="s">
        <v>295</v>
      </c>
      <c r="G4" s="16" t="s">
        <v>296</v>
      </c>
      <c r="H4" s="23" t="s">
        <v>297</v>
      </c>
      <c r="I4" s="23"/>
      <c r="J4" s="23"/>
      <c r="K4" s="23"/>
      <c r="L4" s="23"/>
    </row>
    <row r="5" customFormat="false" ht="19.5" hidden="false" customHeight="true" outlineLevel="0" collapsed="false">
      <c r="A5" s="31" t="n">
        <v>1</v>
      </c>
      <c r="B5" s="12" t="s">
        <v>298</v>
      </c>
      <c r="C5" s="12"/>
      <c r="D5" s="12"/>
      <c r="E5" s="12"/>
      <c r="F5" s="17" t="n">
        <v>321</v>
      </c>
      <c r="G5" s="18" t="n">
        <v>0.3</v>
      </c>
      <c r="H5" s="12" t="s">
        <v>299</v>
      </c>
      <c r="I5" s="12"/>
      <c r="J5" s="12"/>
      <c r="K5" s="12"/>
      <c r="L5" s="12"/>
    </row>
    <row r="6" customFormat="false" ht="19.5" hidden="false" customHeight="true" outlineLevel="0" collapsed="false">
      <c r="A6" s="32" t="n">
        <v>2</v>
      </c>
      <c r="B6" s="13" t="s">
        <v>300</v>
      </c>
      <c r="C6" s="13"/>
      <c r="D6" s="13"/>
      <c r="E6" s="13"/>
      <c r="F6" s="19" t="n">
        <v>311</v>
      </c>
      <c r="G6" s="20" t="n">
        <v>0.291</v>
      </c>
      <c r="H6" s="13" t="s">
        <v>301</v>
      </c>
      <c r="I6" s="13"/>
      <c r="J6" s="13"/>
      <c r="K6" s="13"/>
      <c r="L6" s="13"/>
    </row>
    <row r="7" customFormat="false" ht="19.5" hidden="false" customHeight="true" outlineLevel="0" collapsed="false">
      <c r="A7" s="31" t="n">
        <v>3</v>
      </c>
      <c r="B7" s="12" t="s">
        <v>302</v>
      </c>
      <c r="C7" s="12"/>
      <c r="D7" s="12"/>
      <c r="E7" s="12"/>
      <c r="F7" s="17" t="n">
        <v>271</v>
      </c>
      <c r="G7" s="18" t="n">
        <v>0.254</v>
      </c>
      <c r="H7" s="12" t="s">
        <v>303</v>
      </c>
      <c r="I7" s="12"/>
      <c r="J7" s="12"/>
      <c r="K7" s="12"/>
      <c r="L7" s="12"/>
    </row>
    <row r="8" customFormat="false" ht="19.5" hidden="false" customHeight="true" outlineLevel="0" collapsed="false">
      <c r="A8" s="32" t="n">
        <v>4</v>
      </c>
      <c r="B8" s="13" t="s">
        <v>304</v>
      </c>
      <c r="C8" s="13"/>
      <c r="D8" s="13"/>
      <c r="E8" s="13"/>
      <c r="F8" s="19" t="n">
        <v>244</v>
      </c>
      <c r="G8" s="20" t="n">
        <v>0.228</v>
      </c>
      <c r="H8" s="13" t="s">
        <v>305</v>
      </c>
      <c r="I8" s="13"/>
      <c r="J8" s="13"/>
      <c r="K8" s="13"/>
      <c r="L8" s="13"/>
    </row>
    <row r="9" customFormat="false" ht="19.5" hidden="false" customHeight="true" outlineLevel="0" collapsed="false">
      <c r="A9" s="31" t="n">
        <v>5</v>
      </c>
      <c r="B9" s="12" t="s">
        <v>306</v>
      </c>
      <c r="C9" s="12"/>
      <c r="D9" s="12"/>
      <c r="E9" s="12"/>
      <c r="F9" s="17" t="n">
        <v>243</v>
      </c>
      <c r="G9" s="18" t="n">
        <v>0.227</v>
      </c>
      <c r="H9" s="12" t="s">
        <v>307</v>
      </c>
      <c r="I9" s="12"/>
      <c r="J9" s="12"/>
      <c r="K9" s="12"/>
      <c r="L9" s="12"/>
    </row>
    <row r="10" customFormat="false" ht="19.5" hidden="false" customHeight="true" outlineLevel="0" collapsed="false">
      <c r="A10" s="32" t="n">
        <v>6</v>
      </c>
      <c r="B10" s="13" t="s">
        <v>308</v>
      </c>
      <c r="C10" s="13"/>
      <c r="D10" s="13"/>
      <c r="E10" s="13"/>
      <c r="F10" s="19" t="n">
        <v>219</v>
      </c>
      <c r="G10" s="20" t="n">
        <v>0.205</v>
      </c>
      <c r="H10" s="13" t="s">
        <v>309</v>
      </c>
      <c r="I10" s="13"/>
      <c r="J10" s="13"/>
      <c r="K10" s="13"/>
      <c r="L10" s="13"/>
    </row>
    <row r="11" customFormat="false" ht="19.5" hidden="false" customHeight="true" outlineLevel="0" collapsed="false">
      <c r="A11" s="31" t="n">
        <v>7</v>
      </c>
      <c r="B11" s="12" t="s">
        <v>310</v>
      </c>
      <c r="C11" s="12"/>
      <c r="D11" s="12"/>
      <c r="E11" s="12"/>
      <c r="F11" s="17" t="n">
        <v>208</v>
      </c>
      <c r="G11" s="18" t="n">
        <v>0.195</v>
      </c>
      <c r="H11" s="12" t="s">
        <v>311</v>
      </c>
      <c r="I11" s="12"/>
      <c r="J11" s="12"/>
      <c r="K11" s="12"/>
      <c r="L11" s="12"/>
    </row>
    <row r="12" customFormat="false" ht="19.5" hidden="false" customHeight="true" outlineLevel="0" collapsed="false">
      <c r="A12" s="32" t="n">
        <v>8</v>
      </c>
      <c r="B12" s="13" t="s">
        <v>312</v>
      </c>
      <c r="C12" s="13"/>
      <c r="D12" s="13"/>
      <c r="E12" s="13"/>
      <c r="F12" s="19" t="n">
        <v>206</v>
      </c>
      <c r="G12" s="20" t="n">
        <v>0.193</v>
      </c>
      <c r="H12" s="13" t="s">
        <v>313</v>
      </c>
      <c r="I12" s="13"/>
      <c r="J12" s="13"/>
      <c r="K12" s="13"/>
      <c r="L12" s="13"/>
    </row>
    <row r="13" customFormat="false" ht="19.5" hidden="false" customHeight="true" outlineLevel="0" collapsed="false">
      <c r="A13" s="31" t="n">
        <v>9</v>
      </c>
      <c r="B13" s="12" t="s">
        <v>314</v>
      </c>
      <c r="C13" s="12"/>
      <c r="D13" s="12"/>
      <c r="E13" s="12"/>
      <c r="F13" s="17" t="n">
        <v>192</v>
      </c>
      <c r="G13" s="18" t="n">
        <v>0.18</v>
      </c>
      <c r="H13" s="12" t="s">
        <v>315</v>
      </c>
      <c r="I13" s="12"/>
      <c r="J13" s="12"/>
      <c r="K13" s="12"/>
      <c r="L13" s="12"/>
    </row>
    <row r="14" customFormat="false" ht="19.5" hidden="false" customHeight="true" outlineLevel="0" collapsed="false">
      <c r="A14" s="32" t="n">
        <v>10</v>
      </c>
      <c r="B14" s="13" t="s">
        <v>316</v>
      </c>
      <c r="C14" s="13"/>
      <c r="D14" s="13"/>
      <c r="E14" s="13"/>
      <c r="F14" s="19" t="n">
        <v>188</v>
      </c>
      <c r="G14" s="20" t="n">
        <v>0.176</v>
      </c>
      <c r="H14" s="13" t="s">
        <v>317</v>
      </c>
      <c r="I14" s="13"/>
      <c r="J14" s="13"/>
      <c r="K14" s="13"/>
      <c r="L14" s="13"/>
    </row>
    <row r="15" customFormat="false" ht="19.5" hidden="false" customHeight="true" outlineLevel="0" collapsed="false">
      <c r="A15" s="31" t="n">
        <v>11</v>
      </c>
      <c r="B15" s="12" t="s">
        <v>318</v>
      </c>
      <c r="C15" s="12"/>
      <c r="D15" s="12"/>
      <c r="E15" s="12"/>
      <c r="F15" s="17" t="n">
        <v>182</v>
      </c>
      <c r="G15" s="18" t="n">
        <v>0.17</v>
      </c>
      <c r="H15" s="12" t="s">
        <v>319</v>
      </c>
      <c r="I15" s="12"/>
      <c r="J15" s="12"/>
      <c r="K15" s="12"/>
      <c r="L15" s="12"/>
    </row>
    <row r="16" customFormat="false" ht="19.5" hidden="false" customHeight="true" outlineLevel="0" collapsed="false">
      <c r="A16" s="32" t="n">
        <v>12</v>
      </c>
      <c r="B16" s="13" t="s">
        <v>320</v>
      </c>
      <c r="C16" s="13"/>
      <c r="D16" s="13"/>
      <c r="E16" s="13"/>
      <c r="F16" s="19" t="n">
        <v>180</v>
      </c>
      <c r="G16" s="20" t="n">
        <v>0.168</v>
      </c>
      <c r="H16" s="13" t="s">
        <v>321</v>
      </c>
      <c r="I16" s="13"/>
      <c r="J16" s="13"/>
      <c r="K16" s="13"/>
      <c r="L16" s="13"/>
    </row>
    <row r="17" customFormat="false" ht="19.5" hidden="false" customHeight="true" outlineLevel="0" collapsed="false">
      <c r="A17" s="31" t="n">
        <v>13</v>
      </c>
      <c r="B17" s="12" t="s">
        <v>322</v>
      </c>
      <c r="C17" s="12"/>
      <c r="D17" s="12"/>
      <c r="E17" s="12"/>
      <c r="F17" s="17" t="n">
        <v>106</v>
      </c>
      <c r="G17" s="18" t="n">
        <v>0.099</v>
      </c>
      <c r="H17" s="12" t="s">
        <v>323</v>
      </c>
      <c r="I17" s="12"/>
      <c r="J17" s="12"/>
      <c r="K17" s="12"/>
      <c r="L17" s="12"/>
    </row>
    <row r="18" customFormat="false" ht="19.5" hidden="false" customHeight="true" outlineLevel="0" collapsed="false">
      <c r="A18" s="32" t="n">
        <v>14</v>
      </c>
      <c r="B18" s="13" t="s">
        <v>324</v>
      </c>
      <c r="C18" s="13"/>
      <c r="D18" s="13"/>
      <c r="E18" s="13"/>
      <c r="F18" s="19" t="n">
        <v>69</v>
      </c>
      <c r="G18" s="20" t="n">
        <v>0.065</v>
      </c>
      <c r="H18" s="13" t="s">
        <v>325</v>
      </c>
      <c r="I18" s="13"/>
      <c r="J18" s="13"/>
      <c r="K18" s="13"/>
      <c r="L18" s="13"/>
    </row>
    <row r="19" customFormat="false" ht="19.5" hidden="false" customHeight="true" outlineLevel="0" collapsed="false">
      <c r="A19" s="31" t="n">
        <v>15</v>
      </c>
      <c r="B19" s="12" t="s">
        <v>326</v>
      </c>
      <c r="C19" s="12"/>
      <c r="D19" s="12"/>
      <c r="E19" s="12"/>
      <c r="F19" s="17" t="n">
        <v>68</v>
      </c>
      <c r="G19" s="18" t="n">
        <v>0.064</v>
      </c>
      <c r="H19" s="12" t="s">
        <v>327</v>
      </c>
      <c r="I19" s="12"/>
      <c r="J19" s="12"/>
      <c r="K19" s="12"/>
      <c r="L19" s="12"/>
    </row>
    <row r="21" customFormat="false" ht="21.75" hidden="false" customHeight="true" outlineLevel="0" collapsed="false">
      <c r="A21" s="8" t="s">
        <v>328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26.25" hidden="false" customHeight="true" outlineLevel="0" collapsed="false">
      <c r="A22" s="16" t="s">
        <v>278</v>
      </c>
      <c r="B22" s="23" t="s">
        <v>188</v>
      </c>
      <c r="C22" s="23"/>
      <c r="D22" s="23"/>
      <c r="E22" s="16" t="s">
        <v>329</v>
      </c>
      <c r="F22" s="16" t="s">
        <v>330</v>
      </c>
      <c r="G22" s="23" t="s">
        <v>331</v>
      </c>
      <c r="H22" s="23"/>
      <c r="I22" s="23"/>
      <c r="J22" s="23"/>
      <c r="K22" s="23"/>
      <c r="L22" s="23"/>
    </row>
    <row r="23" customFormat="false" ht="18" hidden="false" customHeight="true" outlineLevel="0" collapsed="false">
      <c r="A23" s="31" t="n">
        <v>1</v>
      </c>
      <c r="B23" s="12" t="s">
        <v>332</v>
      </c>
      <c r="C23" s="12"/>
      <c r="D23" s="12"/>
      <c r="E23" s="17" t="n">
        <v>339</v>
      </c>
      <c r="F23" s="18" t="n">
        <v>0.477</v>
      </c>
      <c r="G23" s="12" t="s">
        <v>333</v>
      </c>
      <c r="H23" s="12"/>
      <c r="I23" s="12"/>
      <c r="J23" s="12"/>
      <c r="K23" s="12"/>
      <c r="L23" s="12"/>
    </row>
    <row r="24" customFormat="false" ht="18" hidden="false" customHeight="true" outlineLevel="0" collapsed="false">
      <c r="A24" s="32" t="n">
        <v>2</v>
      </c>
      <c r="B24" s="13" t="s">
        <v>334</v>
      </c>
      <c r="C24" s="13"/>
      <c r="D24" s="13"/>
      <c r="E24" s="19" t="n">
        <v>327</v>
      </c>
      <c r="F24" s="20" t="n">
        <v>0.46</v>
      </c>
      <c r="G24" s="13" t="s">
        <v>335</v>
      </c>
      <c r="H24" s="13"/>
      <c r="I24" s="13"/>
      <c r="J24" s="13"/>
      <c r="K24" s="13"/>
      <c r="L24" s="13"/>
    </row>
    <row r="25" customFormat="false" ht="18" hidden="false" customHeight="true" outlineLevel="0" collapsed="false">
      <c r="A25" s="31" t="n">
        <v>3</v>
      </c>
      <c r="B25" s="12" t="s">
        <v>336</v>
      </c>
      <c r="C25" s="12"/>
      <c r="D25" s="12"/>
      <c r="E25" s="17" t="n">
        <v>259</v>
      </c>
      <c r="F25" s="18" t="n">
        <v>0.364</v>
      </c>
      <c r="G25" s="12" t="s">
        <v>337</v>
      </c>
      <c r="H25" s="12"/>
      <c r="I25" s="12"/>
      <c r="J25" s="12"/>
      <c r="K25" s="12"/>
      <c r="L25" s="12"/>
    </row>
    <row r="26" customFormat="false" ht="18" hidden="false" customHeight="true" outlineLevel="0" collapsed="false">
      <c r="A26" s="32" t="n">
        <v>4</v>
      </c>
      <c r="B26" s="13" t="s">
        <v>338</v>
      </c>
      <c r="C26" s="13"/>
      <c r="D26" s="13"/>
      <c r="E26" s="19" t="n">
        <v>239</v>
      </c>
      <c r="F26" s="20" t="n">
        <v>0.336</v>
      </c>
      <c r="G26" s="13" t="s">
        <v>339</v>
      </c>
      <c r="H26" s="13"/>
      <c r="I26" s="13"/>
      <c r="J26" s="13"/>
      <c r="K26" s="13"/>
      <c r="L26" s="13"/>
    </row>
    <row r="27" customFormat="false" ht="18" hidden="false" customHeight="true" outlineLevel="0" collapsed="false">
      <c r="A27" s="31" t="n">
        <v>5</v>
      </c>
      <c r="B27" s="12" t="s">
        <v>320</v>
      </c>
      <c r="C27" s="12"/>
      <c r="D27" s="12"/>
      <c r="E27" s="17" t="n">
        <v>229</v>
      </c>
      <c r="F27" s="18" t="n">
        <v>0.322</v>
      </c>
      <c r="G27" s="12" t="s">
        <v>340</v>
      </c>
      <c r="H27" s="12"/>
      <c r="I27" s="12"/>
      <c r="J27" s="12"/>
      <c r="K27" s="12"/>
      <c r="L27" s="12"/>
    </row>
    <row r="28" customFormat="false" ht="18" hidden="false" customHeight="true" outlineLevel="0" collapsed="false">
      <c r="A28" s="32" t="n">
        <v>6</v>
      </c>
      <c r="B28" s="13" t="s">
        <v>314</v>
      </c>
      <c r="C28" s="13"/>
      <c r="D28" s="13"/>
      <c r="E28" s="19" t="n">
        <v>216</v>
      </c>
      <c r="F28" s="20" t="n">
        <v>0.304</v>
      </c>
      <c r="G28" s="13" t="s">
        <v>341</v>
      </c>
      <c r="H28" s="13"/>
      <c r="I28" s="13"/>
      <c r="J28" s="13"/>
      <c r="K28" s="13"/>
      <c r="L28" s="13"/>
    </row>
    <row r="29" customFormat="false" ht="18" hidden="false" customHeight="true" outlineLevel="0" collapsed="false">
      <c r="A29" s="31" t="n">
        <v>7</v>
      </c>
      <c r="B29" s="12" t="s">
        <v>342</v>
      </c>
      <c r="C29" s="12"/>
      <c r="D29" s="12"/>
      <c r="E29" s="17" t="n">
        <v>183</v>
      </c>
      <c r="F29" s="18" t="n">
        <v>0.257</v>
      </c>
      <c r="G29" s="12" t="s">
        <v>343</v>
      </c>
      <c r="H29" s="12"/>
      <c r="I29" s="12"/>
      <c r="J29" s="12"/>
      <c r="K29" s="12"/>
      <c r="L29" s="12"/>
    </row>
    <row r="30" customFormat="false" ht="18" hidden="false" customHeight="true" outlineLevel="0" collapsed="false">
      <c r="A30" s="32" t="n">
        <v>8</v>
      </c>
      <c r="B30" s="13" t="s">
        <v>344</v>
      </c>
      <c r="C30" s="13"/>
      <c r="D30" s="13"/>
      <c r="E30" s="19" t="n">
        <v>146</v>
      </c>
      <c r="F30" s="20" t="n">
        <v>0.205</v>
      </c>
      <c r="G30" s="13" t="s">
        <v>345</v>
      </c>
      <c r="H30" s="13"/>
      <c r="I30" s="13"/>
      <c r="J30" s="13"/>
      <c r="K30" s="13"/>
      <c r="L30" s="13"/>
    </row>
    <row r="31" customFormat="false" ht="18" hidden="false" customHeight="true" outlineLevel="0" collapsed="false">
      <c r="A31" s="31" t="n">
        <v>9</v>
      </c>
      <c r="B31" s="12" t="s">
        <v>346</v>
      </c>
      <c r="C31" s="12"/>
      <c r="D31" s="12"/>
      <c r="E31" s="17" t="n">
        <v>135</v>
      </c>
      <c r="F31" s="18" t="n">
        <v>0.19</v>
      </c>
      <c r="G31" s="12" t="s">
        <v>347</v>
      </c>
      <c r="H31" s="12"/>
      <c r="I31" s="12"/>
      <c r="J31" s="12"/>
      <c r="K31" s="12"/>
      <c r="L31" s="12"/>
    </row>
    <row r="32" customFormat="false" ht="18" hidden="false" customHeight="true" outlineLevel="0" collapsed="false">
      <c r="A32" s="32" t="n">
        <v>10</v>
      </c>
      <c r="B32" s="13" t="s">
        <v>195</v>
      </c>
      <c r="C32" s="13"/>
      <c r="D32" s="13"/>
      <c r="E32" s="19" t="n">
        <v>132</v>
      </c>
      <c r="F32" s="20" t="n">
        <v>0.186</v>
      </c>
      <c r="G32" s="13" t="s">
        <v>347</v>
      </c>
      <c r="H32" s="13"/>
      <c r="I32" s="13"/>
      <c r="J32" s="13"/>
      <c r="K32" s="13"/>
      <c r="L32" s="13"/>
    </row>
    <row r="33" customFormat="false" ht="18" hidden="false" customHeight="true" outlineLevel="0" collapsed="false">
      <c r="A33" s="31" t="n">
        <v>11</v>
      </c>
      <c r="B33" s="12" t="s">
        <v>348</v>
      </c>
      <c r="C33" s="12"/>
      <c r="D33" s="12"/>
      <c r="E33" s="17" t="n">
        <v>89</v>
      </c>
      <c r="F33" s="18" t="n">
        <v>0.125</v>
      </c>
      <c r="G33" s="12" t="s">
        <v>349</v>
      </c>
      <c r="H33" s="12"/>
      <c r="I33" s="12"/>
      <c r="J33" s="12"/>
      <c r="K33" s="12"/>
      <c r="L33" s="12"/>
    </row>
    <row r="34" customFormat="false" ht="18" hidden="false" customHeight="true" outlineLevel="0" collapsed="false">
      <c r="A34" s="32" t="n">
        <v>12</v>
      </c>
      <c r="B34" s="13" t="s">
        <v>350</v>
      </c>
      <c r="C34" s="13"/>
      <c r="D34" s="13"/>
      <c r="E34" s="19" t="n">
        <v>44</v>
      </c>
      <c r="F34" s="20" t="n">
        <v>0.062</v>
      </c>
      <c r="G34" s="13" t="s">
        <v>351</v>
      </c>
      <c r="H34" s="13"/>
      <c r="I34" s="13"/>
      <c r="J34" s="13"/>
      <c r="K34" s="13"/>
      <c r="L34" s="13"/>
    </row>
    <row r="36" customFormat="false" ht="21.75" hidden="false" customHeight="true" outlineLevel="0" collapsed="false">
      <c r="A36" s="8" t="s">
        <v>352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true" outlineLevel="0" collapsed="false">
      <c r="A37" s="23" t="s">
        <v>353</v>
      </c>
      <c r="B37" s="23"/>
      <c r="C37" s="23"/>
      <c r="D37" s="16" t="s">
        <v>75</v>
      </c>
      <c r="E37" s="16" t="s">
        <v>76</v>
      </c>
      <c r="F37" s="16" t="s">
        <v>77</v>
      </c>
      <c r="G37" s="16" t="s">
        <v>354</v>
      </c>
      <c r="H37" s="16" t="s">
        <v>78</v>
      </c>
      <c r="I37" s="16" t="s">
        <v>355</v>
      </c>
      <c r="J37" s="23" t="s">
        <v>356</v>
      </c>
      <c r="K37" s="23"/>
      <c r="L37" s="23"/>
    </row>
    <row r="38" customFormat="false" ht="19.5" hidden="false" customHeight="true" outlineLevel="0" collapsed="false">
      <c r="A38" s="12" t="s">
        <v>357</v>
      </c>
      <c r="B38" s="12"/>
      <c r="C38" s="12"/>
      <c r="D38" s="17" t="n">
        <v>4</v>
      </c>
      <c r="E38" s="18" t="n">
        <v>0.006</v>
      </c>
      <c r="F38" s="17" t="n">
        <v>0</v>
      </c>
      <c r="G38" s="18" t="n">
        <v>0</v>
      </c>
      <c r="H38" s="17" t="n">
        <v>0</v>
      </c>
      <c r="I38" s="18" t="n">
        <v>0</v>
      </c>
      <c r="J38" s="12" t="s">
        <v>358</v>
      </c>
      <c r="K38" s="12"/>
      <c r="L38" s="12"/>
    </row>
    <row r="39" customFormat="false" ht="19.5" hidden="false" customHeight="true" outlineLevel="0" collapsed="false">
      <c r="A39" s="13" t="s">
        <v>359</v>
      </c>
      <c r="B39" s="13"/>
      <c r="C39" s="13"/>
      <c r="D39" s="19" t="n">
        <v>37</v>
      </c>
      <c r="E39" s="20" t="n">
        <v>0.053</v>
      </c>
      <c r="F39" s="19" t="n">
        <v>0</v>
      </c>
      <c r="G39" s="20" t="n">
        <v>0</v>
      </c>
      <c r="H39" s="19" t="n">
        <v>0</v>
      </c>
      <c r="I39" s="20" t="n">
        <v>0</v>
      </c>
      <c r="J39" s="13" t="s">
        <v>360</v>
      </c>
      <c r="K39" s="13"/>
      <c r="L39" s="13"/>
    </row>
    <row r="40" customFormat="false" ht="19.5" hidden="false" customHeight="true" outlineLevel="0" collapsed="false">
      <c r="A40" s="12" t="s">
        <v>361</v>
      </c>
      <c r="B40" s="12"/>
      <c r="C40" s="12"/>
      <c r="D40" s="17" t="n">
        <v>229</v>
      </c>
      <c r="E40" s="18" t="n">
        <v>0.327</v>
      </c>
      <c r="F40" s="17" t="n">
        <v>0</v>
      </c>
      <c r="G40" s="18" t="n">
        <v>0</v>
      </c>
      <c r="H40" s="17" t="n">
        <v>0</v>
      </c>
      <c r="I40" s="18" t="n">
        <v>0</v>
      </c>
      <c r="J40" s="12" t="s">
        <v>362</v>
      </c>
      <c r="K40" s="12"/>
      <c r="L40" s="12"/>
    </row>
    <row r="41" customFormat="false" ht="19.5" hidden="false" customHeight="true" outlineLevel="0" collapsed="false">
      <c r="A41" s="13" t="s">
        <v>363</v>
      </c>
      <c r="B41" s="13"/>
      <c r="C41" s="13"/>
      <c r="D41" s="19" t="n">
        <v>345</v>
      </c>
      <c r="E41" s="20" t="n">
        <v>0.492</v>
      </c>
      <c r="F41" s="19" t="n">
        <v>0</v>
      </c>
      <c r="G41" s="20" t="n">
        <v>0</v>
      </c>
      <c r="H41" s="19" t="n">
        <v>0</v>
      </c>
      <c r="I41" s="20" t="n">
        <v>0</v>
      </c>
      <c r="J41" s="13" t="s">
        <v>364</v>
      </c>
      <c r="K41" s="13"/>
      <c r="L41" s="13"/>
    </row>
    <row r="42" customFormat="false" ht="19.5" hidden="false" customHeight="true" outlineLevel="0" collapsed="false">
      <c r="A42" s="12" t="s">
        <v>365</v>
      </c>
      <c r="B42" s="12"/>
      <c r="C42" s="12"/>
      <c r="D42" s="17" t="n">
        <v>444</v>
      </c>
      <c r="E42" s="18" t="n">
        <v>0.633</v>
      </c>
      <c r="F42" s="17" t="n">
        <v>0</v>
      </c>
      <c r="G42" s="18" t="n">
        <v>0</v>
      </c>
      <c r="H42" s="17" t="n">
        <v>0</v>
      </c>
      <c r="I42" s="18" t="n">
        <v>0</v>
      </c>
      <c r="J42" s="12" t="s">
        <v>366</v>
      </c>
      <c r="K42" s="12"/>
      <c r="L42" s="12"/>
    </row>
    <row r="44" customFormat="false" ht="21.75" hidden="false" customHeight="true" outlineLevel="0" collapsed="false">
      <c r="A44" s="8" t="s">
        <v>367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true" outlineLevel="0" collapsed="false">
      <c r="A45" s="23" t="s">
        <v>9</v>
      </c>
      <c r="B45" s="23"/>
      <c r="C45" s="23"/>
      <c r="D45" s="23" t="s">
        <v>368</v>
      </c>
      <c r="E45" s="23"/>
      <c r="F45" s="23"/>
      <c r="G45" s="16" t="s">
        <v>75</v>
      </c>
      <c r="H45" s="16" t="s">
        <v>76</v>
      </c>
      <c r="I45" s="23" t="s">
        <v>369</v>
      </c>
      <c r="J45" s="23"/>
      <c r="K45" s="23"/>
      <c r="L45" s="23"/>
    </row>
    <row r="46" customFormat="false" ht="19.5" hidden="false" customHeight="true" outlineLevel="0" collapsed="false">
      <c r="A46" s="12" t="s">
        <v>370</v>
      </c>
      <c r="B46" s="12"/>
      <c r="C46" s="12"/>
      <c r="D46" s="12" t="s">
        <v>181</v>
      </c>
      <c r="E46" s="12"/>
      <c r="F46" s="12"/>
      <c r="G46" s="31" t="n">
        <v>859</v>
      </c>
      <c r="H46" s="18" t="n">
        <v>0.811</v>
      </c>
      <c r="I46" s="12" t="s">
        <v>371</v>
      </c>
      <c r="J46" s="12"/>
      <c r="K46" s="12"/>
      <c r="L46" s="12"/>
    </row>
    <row r="47" customFormat="false" ht="19.5" hidden="false" customHeight="true" outlineLevel="0" collapsed="false">
      <c r="A47" s="13" t="s">
        <v>372</v>
      </c>
      <c r="B47" s="13"/>
      <c r="C47" s="13"/>
      <c r="D47" s="13" t="s">
        <v>182</v>
      </c>
      <c r="E47" s="13"/>
      <c r="F47" s="13"/>
      <c r="G47" s="32" t="n">
        <v>769</v>
      </c>
      <c r="H47" s="20" t="n">
        <v>0.726</v>
      </c>
      <c r="I47" s="13" t="s">
        <v>373</v>
      </c>
      <c r="J47" s="13"/>
      <c r="K47" s="13"/>
      <c r="L47" s="13"/>
    </row>
    <row r="48" customFormat="false" ht="19.5" hidden="false" customHeight="true" outlineLevel="0" collapsed="false">
      <c r="A48" s="12" t="s">
        <v>374</v>
      </c>
      <c r="B48" s="12"/>
      <c r="C48" s="12"/>
      <c r="D48" s="12" t="s">
        <v>375</v>
      </c>
      <c r="E48" s="12"/>
      <c r="F48" s="12"/>
      <c r="G48" s="31" t="n">
        <v>495</v>
      </c>
      <c r="H48" s="18" t="n">
        <v>0.467</v>
      </c>
      <c r="I48" s="12" t="s">
        <v>376</v>
      </c>
      <c r="J48" s="12"/>
      <c r="K48" s="12"/>
      <c r="L48" s="12"/>
    </row>
    <row r="49" customFormat="false" ht="19.5" hidden="false" customHeight="true" outlineLevel="0" collapsed="false">
      <c r="A49" s="13" t="s">
        <v>377</v>
      </c>
      <c r="B49" s="13"/>
      <c r="C49" s="13"/>
      <c r="D49" s="13" t="s">
        <v>378</v>
      </c>
      <c r="E49" s="13"/>
      <c r="F49" s="13"/>
      <c r="G49" s="32" t="n">
        <v>466</v>
      </c>
      <c r="H49" s="20" t="n">
        <v>0.44</v>
      </c>
      <c r="I49" s="13" t="s">
        <v>379</v>
      </c>
      <c r="J49" s="13"/>
      <c r="K49" s="13"/>
      <c r="L49" s="13"/>
    </row>
    <row r="50" customFormat="false" ht="19.5" hidden="false" customHeight="true" outlineLevel="0" collapsed="false">
      <c r="A50" s="12" t="s">
        <v>380</v>
      </c>
      <c r="B50" s="12"/>
      <c r="C50" s="12"/>
      <c r="D50" s="12" t="s">
        <v>381</v>
      </c>
      <c r="E50" s="12"/>
      <c r="F50" s="12"/>
      <c r="G50" s="31" t="s">
        <v>382</v>
      </c>
      <c r="H50" s="33" t="s">
        <v>382</v>
      </c>
      <c r="I50" s="12" t="s">
        <v>383</v>
      </c>
      <c r="J50" s="12"/>
      <c r="K50" s="12"/>
      <c r="L50" s="12"/>
    </row>
    <row r="52" customFormat="false" ht="21.75" hidden="false" customHeight="true" outlineLevel="0" collapsed="false">
      <c r="A52" s="8" t="s">
        <v>384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true" outlineLevel="0" collapsed="false">
      <c r="A53" s="16" t="s">
        <v>278</v>
      </c>
      <c r="B53" s="23" t="s">
        <v>385</v>
      </c>
      <c r="C53" s="23"/>
      <c r="D53" s="23"/>
      <c r="E53" s="23"/>
      <c r="F53" s="16" t="s">
        <v>295</v>
      </c>
      <c r="G53" s="16" t="s">
        <v>386</v>
      </c>
      <c r="H53" s="23" t="s">
        <v>387</v>
      </c>
      <c r="I53" s="23"/>
      <c r="J53" s="23"/>
      <c r="K53" s="23"/>
      <c r="L53" s="23"/>
    </row>
    <row r="54" customFormat="false" ht="19.5" hidden="false" customHeight="true" outlineLevel="0" collapsed="false">
      <c r="A54" s="31" t="n">
        <v>1</v>
      </c>
      <c r="B54" s="12" t="s">
        <v>388</v>
      </c>
      <c r="C54" s="12"/>
      <c r="D54" s="12"/>
      <c r="E54" s="12"/>
      <c r="F54" s="17" t="n">
        <v>759</v>
      </c>
      <c r="G54" s="18" t="n">
        <v>0.717</v>
      </c>
      <c r="H54" s="12" t="s">
        <v>389</v>
      </c>
      <c r="I54" s="12"/>
      <c r="J54" s="12"/>
      <c r="K54" s="12"/>
      <c r="L54" s="12"/>
    </row>
    <row r="55" customFormat="false" ht="19.5" hidden="false" customHeight="true" outlineLevel="0" collapsed="false">
      <c r="A55" s="32" t="n">
        <v>2</v>
      </c>
      <c r="B55" s="13" t="s">
        <v>390</v>
      </c>
      <c r="C55" s="13"/>
      <c r="D55" s="13"/>
      <c r="E55" s="13"/>
      <c r="F55" s="19" t="n">
        <v>586</v>
      </c>
      <c r="G55" s="20" t="n">
        <v>0.553</v>
      </c>
      <c r="H55" s="13" t="s">
        <v>391</v>
      </c>
      <c r="I55" s="13"/>
      <c r="J55" s="13"/>
      <c r="K55" s="13"/>
      <c r="L55" s="13"/>
    </row>
    <row r="56" customFormat="false" ht="19.5" hidden="false" customHeight="true" outlineLevel="0" collapsed="false">
      <c r="A56" s="31" t="n">
        <v>3</v>
      </c>
      <c r="B56" s="12" t="s">
        <v>392</v>
      </c>
      <c r="C56" s="12"/>
      <c r="D56" s="12"/>
      <c r="E56" s="12"/>
      <c r="F56" s="17" t="n">
        <v>470</v>
      </c>
      <c r="G56" s="18" t="n">
        <v>0.444</v>
      </c>
      <c r="H56" s="12" t="s">
        <v>393</v>
      </c>
      <c r="I56" s="12"/>
      <c r="J56" s="12"/>
      <c r="K56" s="12"/>
      <c r="L56" s="12"/>
    </row>
    <row r="57" customFormat="false" ht="19.5" hidden="false" customHeight="true" outlineLevel="0" collapsed="false">
      <c r="A57" s="32" t="n">
        <v>4</v>
      </c>
      <c r="B57" s="13" t="s">
        <v>394</v>
      </c>
      <c r="C57" s="13"/>
      <c r="D57" s="13"/>
      <c r="E57" s="13"/>
      <c r="F57" s="19" t="n">
        <v>457</v>
      </c>
      <c r="G57" s="20" t="n">
        <v>0.432</v>
      </c>
      <c r="H57" s="13" t="s">
        <v>395</v>
      </c>
      <c r="I57" s="13"/>
      <c r="J57" s="13"/>
      <c r="K57" s="13"/>
      <c r="L57" s="13"/>
    </row>
    <row r="58" customFormat="false" ht="19.5" hidden="false" customHeight="true" outlineLevel="0" collapsed="false">
      <c r="A58" s="31" t="n">
        <v>5</v>
      </c>
      <c r="B58" s="12" t="s">
        <v>396</v>
      </c>
      <c r="C58" s="12"/>
      <c r="D58" s="12"/>
      <c r="E58" s="12"/>
      <c r="F58" s="17" t="n">
        <v>448</v>
      </c>
      <c r="G58" s="18" t="n">
        <v>0.423</v>
      </c>
      <c r="H58" s="12" t="s">
        <v>397</v>
      </c>
      <c r="I58" s="12"/>
      <c r="J58" s="12"/>
      <c r="K58" s="12"/>
      <c r="L58" s="12"/>
    </row>
    <row r="59" customFormat="false" ht="19.5" hidden="false" customHeight="true" outlineLevel="0" collapsed="false">
      <c r="A59" s="32" t="n">
        <v>6</v>
      </c>
      <c r="B59" s="13" t="s">
        <v>398</v>
      </c>
      <c r="C59" s="13"/>
      <c r="D59" s="13"/>
      <c r="E59" s="13"/>
      <c r="F59" s="19" t="n">
        <v>332</v>
      </c>
      <c r="G59" s="20" t="n">
        <v>0.314</v>
      </c>
      <c r="H59" s="13" t="s">
        <v>399</v>
      </c>
      <c r="I59" s="13"/>
      <c r="J59" s="13"/>
      <c r="K59" s="13"/>
      <c r="L59" s="13"/>
    </row>
    <row r="60" customFormat="false" ht="19.5" hidden="false" customHeight="true" outlineLevel="0" collapsed="false">
      <c r="A60" s="31" t="n">
        <v>7</v>
      </c>
      <c r="B60" s="12" t="s">
        <v>400</v>
      </c>
      <c r="C60" s="12"/>
      <c r="D60" s="12"/>
      <c r="E60" s="12"/>
      <c r="F60" s="17" t="n">
        <v>282</v>
      </c>
      <c r="G60" s="18" t="n">
        <v>0.266</v>
      </c>
      <c r="H60" s="12" t="s">
        <v>401</v>
      </c>
      <c r="I60" s="12"/>
      <c r="J60" s="12"/>
      <c r="K60" s="12"/>
      <c r="L60" s="12"/>
    </row>
    <row r="61" customFormat="false" ht="19.5" hidden="false" customHeight="true" outlineLevel="0" collapsed="false">
      <c r="A61" s="32" t="n">
        <v>8</v>
      </c>
      <c r="B61" s="13" t="s">
        <v>402</v>
      </c>
      <c r="C61" s="13"/>
      <c r="D61" s="13"/>
      <c r="E61" s="13"/>
      <c r="F61" s="19" t="n">
        <v>195</v>
      </c>
      <c r="G61" s="20" t="n">
        <v>0.184</v>
      </c>
      <c r="H61" s="13" t="s">
        <v>403</v>
      </c>
      <c r="I61" s="13"/>
      <c r="J61" s="13"/>
      <c r="K61" s="13"/>
      <c r="L61" s="13"/>
    </row>
    <row r="62" customFormat="false" ht="19.5" hidden="false" customHeight="true" outlineLevel="0" collapsed="false">
      <c r="A62" s="31" t="n">
        <v>9</v>
      </c>
      <c r="B62" s="12" t="s">
        <v>404</v>
      </c>
      <c r="C62" s="12"/>
      <c r="D62" s="12"/>
      <c r="E62" s="12"/>
      <c r="F62" s="17" t="n">
        <v>158</v>
      </c>
      <c r="G62" s="18" t="n">
        <v>0.149</v>
      </c>
      <c r="H62" s="12" t="s">
        <v>405</v>
      </c>
      <c r="I62" s="12"/>
      <c r="J62" s="12"/>
      <c r="K62" s="12"/>
      <c r="L62" s="12"/>
    </row>
    <row r="63" customFormat="false" ht="19.5" hidden="false" customHeight="true" outlineLevel="0" collapsed="false">
      <c r="A63" s="32" t="n">
        <v>10</v>
      </c>
      <c r="B63" s="13" t="s">
        <v>406</v>
      </c>
      <c r="C63" s="13"/>
      <c r="D63" s="13"/>
      <c r="E63" s="13"/>
      <c r="F63" s="19" t="n">
        <v>130</v>
      </c>
      <c r="G63" s="20" t="n">
        <v>0.123</v>
      </c>
      <c r="H63" s="13" t="s">
        <v>407</v>
      </c>
      <c r="I63" s="13"/>
      <c r="J63" s="13"/>
      <c r="K63" s="13"/>
      <c r="L63" s="13"/>
    </row>
    <row r="64" customFormat="false" ht="19.5" hidden="false" customHeight="true" outlineLevel="0" collapsed="false">
      <c r="A64" s="31" t="n">
        <v>11</v>
      </c>
      <c r="B64" s="12" t="s">
        <v>408</v>
      </c>
      <c r="C64" s="12"/>
      <c r="D64" s="12"/>
      <c r="E64" s="12"/>
      <c r="F64" s="17" t="n">
        <v>88</v>
      </c>
      <c r="G64" s="18" t="n">
        <v>0.083</v>
      </c>
      <c r="H64" s="12" t="s">
        <v>409</v>
      </c>
      <c r="I64" s="12"/>
      <c r="J64" s="12"/>
      <c r="K64" s="12"/>
      <c r="L64" s="12"/>
    </row>
    <row r="65" customFormat="false" ht="19.5" hidden="false" customHeight="true" outlineLevel="0" collapsed="false">
      <c r="A65" s="32" t="n">
        <v>12</v>
      </c>
      <c r="B65" s="13" t="s">
        <v>410</v>
      </c>
      <c r="C65" s="13"/>
      <c r="D65" s="13"/>
      <c r="E65" s="13"/>
      <c r="F65" s="19" t="n">
        <v>76</v>
      </c>
      <c r="G65" s="20" t="n">
        <v>0.072</v>
      </c>
      <c r="H65" s="13" t="s">
        <v>411</v>
      </c>
      <c r="I65" s="13"/>
      <c r="J65" s="13"/>
      <c r="K65" s="13"/>
      <c r="L65" s="13"/>
    </row>
    <row r="66" customFormat="false" ht="19.5" hidden="false" customHeight="true" outlineLevel="0" collapsed="false">
      <c r="A66" s="31" t="n">
        <v>13</v>
      </c>
      <c r="B66" s="12" t="s">
        <v>412</v>
      </c>
      <c r="C66" s="12"/>
      <c r="D66" s="12"/>
      <c r="E66" s="12"/>
      <c r="F66" s="17" t="n">
        <v>72</v>
      </c>
      <c r="G66" s="18" t="n">
        <v>0.068</v>
      </c>
      <c r="H66" s="12" t="s">
        <v>413</v>
      </c>
      <c r="I66" s="12"/>
      <c r="J66" s="12"/>
      <c r="K66" s="12"/>
      <c r="L66" s="12"/>
    </row>
  </sheetData>
  <mergeCells count="122">
    <mergeCell ref="A1:L1"/>
    <mergeCell ref="A3:L3"/>
    <mergeCell ref="B4:E4"/>
    <mergeCell ref="H4:L4"/>
    <mergeCell ref="B5:E5"/>
    <mergeCell ref="H5:L5"/>
    <mergeCell ref="B6:E6"/>
    <mergeCell ref="H6:L6"/>
    <mergeCell ref="B7:E7"/>
    <mergeCell ref="H7:L7"/>
    <mergeCell ref="B8:E8"/>
    <mergeCell ref="H8:L8"/>
    <mergeCell ref="B9:E9"/>
    <mergeCell ref="H9:L9"/>
    <mergeCell ref="B10:E10"/>
    <mergeCell ref="H10:L10"/>
    <mergeCell ref="B11:E11"/>
    <mergeCell ref="H11:L11"/>
    <mergeCell ref="B12:E12"/>
    <mergeCell ref="H12:L12"/>
    <mergeCell ref="B13:E13"/>
    <mergeCell ref="H13:L13"/>
    <mergeCell ref="B14:E14"/>
    <mergeCell ref="H14:L14"/>
    <mergeCell ref="B15:E15"/>
    <mergeCell ref="H15:L15"/>
    <mergeCell ref="B16:E16"/>
    <mergeCell ref="H16:L16"/>
    <mergeCell ref="B17:E17"/>
    <mergeCell ref="H17:L17"/>
    <mergeCell ref="B18:E18"/>
    <mergeCell ref="H18:L18"/>
    <mergeCell ref="B19:E19"/>
    <mergeCell ref="H19:L19"/>
    <mergeCell ref="A21:L21"/>
    <mergeCell ref="B22:D22"/>
    <mergeCell ref="G22:L22"/>
    <mergeCell ref="B23:D23"/>
    <mergeCell ref="G23:L23"/>
    <mergeCell ref="B24:D24"/>
    <mergeCell ref="G24:L24"/>
    <mergeCell ref="B25:D25"/>
    <mergeCell ref="G25:L25"/>
    <mergeCell ref="B26:D26"/>
    <mergeCell ref="G26:L26"/>
    <mergeCell ref="B27:D27"/>
    <mergeCell ref="G27:L27"/>
    <mergeCell ref="B28:D28"/>
    <mergeCell ref="G28:L28"/>
    <mergeCell ref="B29:D29"/>
    <mergeCell ref="G29:L29"/>
    <mergeCell ref="B30:D30"/>
    <mergeCell ref="G30:L30"/>
    <mergeCell ref="B31:D31"/>
    <mergeCell ref="G31:L31"/>
    <mergeCell ref="B32:D32"/>
    <mergeCell ref="G32:L32"/>
    <mergeCell ref="B33:D33"/>
    <mergeCell ref="G33:L33"/>
    <mergeCell ref="B34:D34"/>
    <mergeCell ref="G34:L34"/>
    <mergeCell ref="A36:L36"/>
    <mergeCell ref="A37:C37"/>
    <mergeCell ref="J37:L37"/>
    <mergeCell ref="A38:C38"/>
    <mergeCell ref="J38:L38"/>
    <mergeCell ref="A39:C39"/>
    <mergeCell ref="J39:L39"/>
    <mergeCell ref="A40:C40"/>
    <mergeCell ref="J40:L40"/>
    <mergeCell ref="A41:C41"/>
    <mergeCell ref="J41:L41"/>
    <mergeCell ref="A42:C42"/>
    <mergeCell ref="J42:L42"/>
    <mergeCell ref="A44:L44"/>
    <mergeCell ref="A45:C45"/>
    <mergeCell ref="D45:F45"/>
    <mergeCell ref="I45:L45"/>
    <mergeCell ref="A46:C46"/>
    <mergeCell ref="D46:F46"/>
    <mergeCell ref="I46:L46"/>
    <mergeCell ref="A47:C47"/>
    <mergeCell ref="D47:F47"/>
    <mergeCell ref="I47:L47"/>
    <mergeCell ref="A48:C48"/>
    <mergeCell ref="D48:F48"/>
    <mergeCell ref="I48:L48"/>
    <mergeCell ref="A49:C49"/>
    <mergeCell ref="D49:F49"/>
    <mergeCell ref="I49:L49"/>
    <mergeCell ref="A50:C50"/>
    <mergeCell ref="D50:F50"/>
    <mergeCell ref="I50:L50"/>
    <mergeCell ref="A52:L52"/>
    <mergeCell ref="B53:E53"/>
    <mergeCell ref="H53:L53"/>
    <mergeCell ref="B54:E54"/>
    <mergeCell ref="H54:L54"/>
    <mergeCell ref="B55:E55"/>
    <mergeCell ref="H55:L55"/>
    <mergeCell ref="B56:E56"/>
    <mergeCell ref="H56:L56"/>
    <mergeCell ref="B57:E57"/>
    <mergeCell ref="H57:L57"/>
    <mergeCell ref="B58:E58"/>
    <mergeCell ref="H58:L58"/>
    <mergeCell ref="B59:E59"/>
    <mergeCell ref="H59:L59"/>
    <mergeCell ref="B60:E60"/>
    <mergeCell ref="H60:L60"/>
    <mergeCell ref="B61:E61"/>
    <mergeCell ref="H61:L61"/>
    <mergeCell ref="B62:E62"/>
    <mergeCell ref="H62:L62"/>
    <mergeCell ref="B63:E63"/>
    <mergeCell ref="H63:L63"/>
    <mergeCell ref="B64:E64"/>
    <mergeCell ref="H64:L64"/>
    <mergeCell ref="B65:E65"/>
    <mergeCell ref="H65:L65"/>
    <mergeCell ref="B66:E66"/>
    <mergeCell ref="H66:L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5" min="3" style="1" width="1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2" min="10" style="1" width="12"/>
  </cols>
  <sheetData>
    <row r="1" customFormat="false" ht="31.5" hidden="false" customHeight="true" outlineLevel="0" collapsed="false">
      <c r="A1" s="15" t="s">
        <v>414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8" t="s">
        <v>415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15" hidden="false" customHeight="true" outlineLevel="0" collapsed="false">
      <c r="A4" s="16" t="s">
        <v>278</v>
      </c>
      <c r="B4" s="23" t="s">
        <v>416</v>
      </c>
      <c r="C4" s="23"/>
      <c r="D4" s="23"/>
      <c r="E4" s="23"/>
      <c r="F4" s="16" t="s">
        <v>295</v>
      </c>
      <c r="G4" s="16" t="s">
        <v>417</v>
      </c>
      <c r="H4" s="23" t="s">
        <v>418</v>
      </c>
      <c r="I4" s="23"/>
      <c r="J4" s="23"/>
      <c r="K4" s="23"/>
      <c r="L4" s="23"/>
    </row>
    <row r="5" customFormat="false" ht="21.75" hidden="false" customHeight="true" outlineLevel="0" collapsed="false">
      <c r="A5" s="31" t="n">
        <v>1</v>
      </c>
      <c r="B5" s="12" t="s">
        <v>419</v>
      </c>
      <c r="C5" s="12"/>
      <c r="D5" s="12"/>
      <c r="E5" s="12"/>
      <c r="F5" s="17" t="n">
        <v>615</v>
      </c>
      <c r="G5" s="18" t="n">
        <v>0.662</v>
      </c>
      <c r="H5" s="12" t="s">
        <v>420</v>
      </c>
      <c r="I5" s="12"/>
      <c r="J5" s="12"/>
      <c r="K5" s="12"/>
      <c r="L5" s="12"/>
    </row>
    <row r="6" customFormat="false" ht="21.75" hidden="false" customHeight="true" outlineLevel="0" collapsed="false">
      <c r="A6" s="32" t="n">
        <v>2</v>
      </c>
      <c r="B6" s="13" t="s">
        <v>421</v>
      </c>
      <c r="C6" s="13"/>
      <c r="D6" s="13"/>
      <c r="E6" s="13"/>
      <c r="F6" s="19" t="n">
        <v>543</v>
      </c>
      <c r="G6" s="20" t="n">
        <v>0.584</v>
      </c>
      <c r="H6" s="13" t="s">
        <v>422</v>
      </c>
      <c r="I6" s="13"/>
      <c r="J6" s="13"/>
      <c r="K6" s="13"/>
      <c r="L6" s="13"/>
    </row>
    <row r="7" customFormat="false" ht="21.75" hidden="false" customHeight="true" outlineLevel="0" collapsed="false">
      <c r="A7" s="31" t="n">
        <v>3</v>
      </c>
      <c r="B7" s="12" t="s">
        <v>423</v>
      </c>
      <c r="C7" s="12"/>
      <c r="D7" s="12"/>
      <c r="E7" s="12"/>
      <c r="F7" s="17" t="n">
        <v>369</v>
      </c>
      <c r="G7" s="18" t="n">
        <v>0.397</v>
      </c>
      <c r="H7" s="12" t="s">
        <v>424</v>
      </c>
      <c r="I7" s="12"/>
      <c r="J7" s="12"/>
      <c r="K7" s="12"/>
      <c r="L7" s="12"/>
    </row>
    <row r="8" customFormat="false" ht="21.75" hidden="false" customHeight="true" outlineLevel="0" collapsed="false">
      <c r="A8" s="32" t="n">
        <v>4</v>
      </c>
      <c r="B8" s="13" t="s">
        <v>425</v>
      </c>
      <c r="C8" s="13"/>
      <c r="D8" s="13"/>
      <c r="E8" s="13"/>
      <c r="F8" s="19" t="n">
        <v>338</v>
      </c>
      <c r="G8" s="20" t="n">
        <v>0.364</v>
      </c>
      <c r="H8" s="13" t="s">
        <v>426</v>
      </c>
      <c r="I8" s="13"/>
      <c r="J8" s="13"/>
      <c r="K8" s="13"/>
      <c r="L8" s="13"/>
    </row>
    <row r="9" customFormat="false" ht="21.75" hidden="false" customHeight="true" outlineLevel="0" collapsed="false">
      <c r="A9" s="31" t="n">
        <v>5</v>
      </c>
      <c r="B9" s="12" t="s">
        <v>427</v>
      </c>
      <c r="C9" s="12"/>
      <c r="D9" s="12"/>
      <c r="E9" s="12"/>
      <c r="F9" s="17" t="n">
        <v>300</v>
      </c>
      <c r="G9" s="18" t="n">
        <v>0.323</v>
      </c>
      <c r="H9" s="12" t="s">
        <v>428</v>
      </c>
      <c r="I9" s="12"/>
      <c r="J9" s="12"/>
      <c r="K9" s="12"/>
      <c r="L9" s="12"/>
    </row>
    <row r="10" customFormat="false" ht="21.75" hidden="false" customHeight="true" outlineLevel="0" collapsed="false">
      <c r="A10" s="32" t="n">
        <v>6</v>
      </c>
      <c r="B10" s="13" t="s">
        <v>429</v>
      </c>
      <c r="C10" s="13"/>
      <c r="D10" s="13"/>
      <c r="E10" s="13"/>
      <c r="F10" s="19" t="n">
        <v>200</v>
      </c>
      <c r="G10" s="20" t="n">
        <v>0.215</v>
      </c>
      <c r="H10" s="13" t="s">
        <v>430</v>
      </c>
      <c r="I10" s="13"/>
      <c r="J10" s="13"/>
      <c r="K10" s="13"/>
      <c r="L10" s="13"/>
    </row>
    <row r="11" customFormat="false" ht="21.75" hidden="false" customHeight="true" outlineLevel="0" collapsed="false">
      <c r="A11" s="31" t="n">
        <v>7</v>
      </c>
      <c r="B11" s="12" t="s">
        <v>431</v>
      </c>
      <c r="C11" s="12"/>
      <c r="D11" s="12"/>
      <c r="E11" s="12"/>
      <c r="F11" s="17" t="n">
        <v>185</v>
      </c>
      <c r="G11" s="18" t="n">
        <v>0.199</v>
      </c>
      <c r="H11" s="12" t="s">
        <v>432</v>
      </c>
      <c r="I11" s="12"/>
      <c r="J11" s="12"/>
      <c r="K11" s="12"/>
      <c r="L11" s="12"/>
    </row>
    <row r="12" customFormat="false" ht="21.75" hidden="false" customHeight="true" outlineLevel="0" collapsed="false">
      <c r="A12" s="32" t="n">
        <v>8</v>
      </c>
      <c r="B12" s="13" t="s">
        <v>433</v>
      </c>
      <c r="C12" s="13"/>
      <c r="D12" s="13"/>
      <c r="E12" s="13"/>
      <c r="F12" s="19" t="n">
        <v>136</v>
      </c>
      <c r="G12" s="20" t="n">
        <v>0.146</v>
      </c>
      <c r="H12" s="13" t="s">
        <v>434</v>
      </c>
      <c r="I12" s="13"/>
      <c r="J12" s="13"/>
      <c r="K12" s="13"/>
      <c r="L12" s="13"/>
    </row>
    <row r="13" customFormat="false" ht="21.75" hidden="false" customHeight="true" outlineLevel="0" collapsed="false">
      <c r="A13" s="31" t="n">
        <v>9</v>
      </c>
      <c r="B13" s="12" t="s">
        <v>435</v>
      </c>
      <c r="C13" s="12"/>
      <c r="D13" s="12"/>
      <c r="E13" s="12"/>
      <c r="F13" s="17" t="n">
        <v>71</v>
      </c>
      <c r="G13" s="18" t="n">
        <v>0.076</v>
      </c>
      <c r="H13" s="12" t="s">
        <v>436</v>
      </c>
      <c r="I13" s="12"/>
      <c r="J13" s="12"/>
      <c r="K13" s="12"/>
      <c r="L13" s="12"/>
    </row>
    <row r="15" customFormat="false" ht="21.75" hidden="false" customHeight="true" outlineLevel="0" collapsed="false">
      <c r="A15" s="8" t="s">
        <v>437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true" outlineLevel="0" collapsed="false">
      <c r="A16" s="16" t="s">
        <v>278</v>
      </c>
      <c r="B16" s="23" t="s">
        <v>438</v>
      </c>
      <c r="C16" s="23"/>
      <c r="D16" s="23"/>
      <c r="E16" s="23"/>
      <c r="F16" s="16" t="s">
        <v>295</v>
      </c>
      <c r="G16" s="16" t="s">
        <v>296</v>
      </c>
      <c r="H16" s="23" t="s">
        <v>439</v>
      </c>
      <c r="I16" s="23"/>
      <c r="J16" s="23"/>
      <c r="K16" s="23"/>
      <c r="L16" s="23"/>
    </row>
    <row r="17" customFormat="false" ht="21.75" hidden="false" customHeight="true" outlineLevel="0" collapsed="false">
      <c r="A17" s="31" t="n">
        <v>1</v>
      </c>
      <c r="B17" s="12" t="s">
        <v>440</v>
      </c>
      <c r="C17" s="12"/>
      <c r="D17" s="12"/>
      <c r="E17" s="12"/>
      <c r="F17" s="17" t="n">
        <v>761</v>
      </c>
      <c r="G17" s="18" t="n">
        <v>0.607</v>
      </c>
      <c r="H17" s="12" t="s">
        <v>441</v>
      </c>
      <c r="I17" s="12"/>
      <c r="J17" s="12"/>
      <c r="K17" s="12"/>
      <c r="L17" s="12"/>
    </row>
    <row r="18" customFormat="false" ht="21.75" hidden="false" customHeight="true" outlineLevel="0" collapsed="false">
      <c r="A18" s="32" t="n">
        <v>2</v>
      </c>
      <c r="B18" s="13" t="s">
        <v>442</v>
      </c>
      <c r="C18" s="13"/>
      <c r="D18" s="13"/>
      <c r="E18" s="13"/>
      <c r="F18" s="19" t="n">
        <v>556</v>
      </c>
      <c r="G18" s="20" t="n">
        <v>0.443</v>
      </c>
      <c r="H18" s="13" t="s">
        <v>443</v>
      </c>
      <c r="I18" s="13"/>
      <c r="J18" s="13"/>
      <c r="K18" s="13"/>
      <c r="L18" s="13"/>
    </row>
    <row r="19" customFormat="false" ht="21.75" hidden="false" customHeight="true" outlineLevel="0" collapsed="false">
      <c r="A19" s="31" t="n">
        <v>3</v>
      </c>
      <c r="B19" s="12" t="s">
        <v>444</v>
      </c>
      <c r="C19" s="12"/>
      <c r="D19" s="12"/>
      <c r="E19" s="12"/>
      <c r="F19" s="17" t="n">
        <v>529</v>
      </c>
      <c r="G19" s="18" t="n">
        <v>0.422</v>
      </c>
      <c r="H19" s="12" t="s">
        <v>445</v>
      </c>
      <c r="I19" s="12"/>
      <c r="J19" s="12"/>
      <c r="K19" s="12"/>
      <c r="L19" s="12"/>
    </row>
    <row r="20" customFormat="false" ht="21.75" hidden="false" customHeight="true" outlineLevel="0" collapsed="false">
      <c r="A20" s="32" t="n">
        <v>4</v>
      </c>
      <c r="B20" s="13" t="s">
        <v>446</v>
      </c>
      <c r="C20" s="13"/>
      <c r="D20" s="13"/>
      <c r="E20" s="13"/>
      <c r="F20" s="19" t="n">
        <v>266</v>
      </c>
      <c r="G20" s="20" t="n">
        <v>0.212</v>
      </c>
      <c r="H20" s="13" t="s">
        <v>447</v>
      </c>
      <c r="I20" s="13"/>
      <c r="J20" s="13"/>
      <c r="K20" s="13"/>
      <c r="L20" s="13"/>
    </row>
    <row r="21" customFormat="false" ht="21.75" hidden="false" customHeight="true" outlineLevel="0" collapsed="false">
      <c r="A21" s="31" t="n">
        <v>5</v>
      </c>
      <c r="B21" s="12" t="s">
        <v>448</v>
      </c>
      <c r="C21" s="12"/>
      <c r="D21" s="12"/>
      <c r="E21" s="12"/>
      <c r="F21" s="17" t="n">
        <v>173</v>
      </c>
      <c r="G21" s="18" t="n">
        <v>0.138</v>
      </c>
      <c r="H21" s="12" t="s">
        <v>449</v>
      </c>
      <c r="I21" s="12"/>
      <c r="J21" s="12"/>
      <c r="K21" s="12"/>
      <c r="L21" s="12"/>
    </row>
    <row r="22" customFormat="false" ht="21.75" hidden="false" customHeight="true" outlineLevel="0" collapsed="false">
      <c r="A22" s="32" t="n">
        <v>6</v>
      </c>
      <c r="B22" s="13" t="s">
        <v>450</v>
      </c>
      <c r="C22" s="13"/>
      <c r="D22" s="13"/>
      <c r="E22" s="13"/>
      <c r="F22" s="19" t="n">
        <v>77</v>
      </c>
      <c r="G22" s="20" t="n">
        <v>0.061</v>
      </c>
      <c r="H22" s="13" t="s">
        <v>451</v>
      </c>
      <c r="I22" s="13"/>
      <c r="J22" s="13"/>
      <c r="K22" s="13"/>
      <c r="L22" s="13"/>
    </row>
    <row r="24" customFormat="false" ht="21.75" hidden="false" customHeight="true" outlineLevel="0" collapsed="false">
      <c r="A24" s="8" t="s">
        <v>452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true" outlineLevel="0" collapsed="false">
      <c r="A25" s="23" t="s">
        <v>453</v>
      </c>
      <c r="B25" s="23"/>
      <c r="C25" s="23"/>
      <c r="D25" s="16" t="s">
        <v>75</v>
      </c>
      <c r="E25" s="16" t="s">
        <v>76</v>
      </c>
      <c r="F25" s="16" t="s">
        <v>77</v>
      </c>
      <c r="G25" s="16" t="s">
        <v>78</v>
      </c>
      <c r="H25" s="23" t="s">
        <v>454</v>
      </c>
      <c r="I25" s="23"/>
      <c r="J25" s="23"/>
      <c r="K25" s="23"/>
      <c r="L25" s="23"/>
    </row>
    <row r="26" customFormat="false" ht="19.5" hidden="false" customHeight="true" outlineLevel="0" collapsed="false">
      <c r="A26" s="12" t="s">
        <v>455</v>
      </c>
      <c r="B26" s="12"/>
      <c r="C26" s="12"/>
      <c r="D26" s="17" t="n">
        <v>248</v>
      </c>
      <c r="E26" s="18" t="n">
        <v>0.232</v>
      </c>
      <c r="F26" s="17" t="n">
        <v>0</v>
      </c>
      <c r="G26" s="17" t="n">
        <v>0</v>
      </c>
      <c r="H26" s="12" t="s">
        <v>456</v>
      </c>
      <c r="I26" s="12"/>
      <c r="J26" s="12"/>
      <c r="K26" s="12"/>
      <c r="L26" s="12"/>
    </row>
    <row r="27" customFormat="false" ht="19.5" hidden="false" customHeight="true" outlineLevel="0" collapsed="false">
      <c r="A27" s="13" t="s">
        <v>457</v>
      </c>
      <c r="B27" s="13"/>
      <c r="C27" s="13"/>
      <c r="D27" s="19" t="n">
        <v>522</v>
      </c>
      <c r="E27" s="20" t="n">
        <v>0.488</v>
      </c>
      <c r="F27" s="19" t="n">
        <v>0</v>
      </c>
      <c r="G27" s="19" t="n">
        <v>0</v>
      </c>
      <c r="H27" s="13" t="s">
        <v>458</v>
      </c>
      <c r="I27" s="13"/>
      <c r="J27" s="13"/>
      <c r="K27" s="13"/>
      <c r="L27" s="13"/>
    </row>
    <row r="28" customFormat="false" ht="19.5" hidden="false" customHeight="true" outlineLevel="0" collapsed="false">
      <c r="A28" s="12" t="s">
        <v>459</v>
      </c>
      <c r="B28" s="12"/>
      <c r="C28" s="12"/>
      <c r="D28" s="17" t="n">
        <v>162</v>
      </c>
      <c r="E28" s="18" t="n">
        <v>0.152</v>
      </c>
      <c r="F28" s="17" t="n">
        <v>0</v>
      </c>
      <c r="G28" s="17" t="n">
        <v>0</v>
      </c>
      <c r="H28" s="12" t="s">
        <v>460</v>
      </c>
      <c r="I28" s="12"/>
      <c r="J28" s="12"/>
      <c r="K28" s="12"/>
      <c r="L28" s="12"/>
    </row>
    <row r="29" customFormat="false" ht="19.5" hidden="false" customHeight="true" outlineLevel="0" collapsed="false">
      <c r="A29" s="13" t="s">
        <v>461</v>
      </c>
      <c r="B29" s="13"/>
      <c r="C29" s="13"/>
      <c r="D29" s="19" t="n">
        <v>137</v>
      </c>
      <c r="E29" s="20" t="n">
        <v>0.128</v>
      </c>
      <c r="F29" s="19" t="n">
        <v>0</v>
      </c>
      <c r="G29" s="19" t="n">
        <v>0</v>
      </c>
      <c r="H29" s="13" t="s">
        <v>462</v>
      </c>
      <c r="I29" s="13"/>
      <c r="J29" s="13"/>
      <c r="K29" s="13"/>
      <c r="L29" s="13"/>
    </row>
    <row r="31" customFormat="false" ht="21.75" hidden="false" customHeight="true" outlineLevel="0" collapsed="false">
      <c r="A31" s="8" t="s">
        <v>463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true" outlineLevel="0" collapsed="false">
      <c r="A32" s="23" t="s">
        <v>464</v>
      </c>
      <c r="B32" s="23"/>
      <c r="C32" s="23"/>
      <c r="D32" s="16" t="s">
        <v>75</v>
      </c>
      <c r="E32" s="16" t="s">
        <v>76</v>
      </c>
      <c r="F32" s="23" t="s">
        <v>465</v>
      </c>
      <c r="G32" s="23"/>
      <c r="H32" s="23"/>
      <c r="I32" s="23"/>
      <c r="J32" s="23"/>
      <c r="K32" s="23"/>
      <c r="L32" s="23"/>
    </row>
    <row r="33" customFormat="false" ht="18" hidden="false" customHeight="true" outlineLevel="0" collapsed="false">
      <c r="A33" s="12" t="s">
        <v>466</v>
      </c>
      <c r="B33" s="12"/>
      <c r="C33" s="12"/>
      <c r="D33" s="17" t="n">
        <v>191</v>
      </c>
      <c r="E33" s="18" t="n">
        <v>0.205</v>
      </c>
      <c r="F33" s="12" t="s">
        <v>467</v>
      </c>
      <c r="G33" s="12"/>
      <c r="H33" s="12"/>
      <c r="I33" s="12"/>
      <c r="J33" s="12"/>
      <c r="K33" s="12"/>
      <c r="L33" s="12"/>
    </row>
    <row r="34" customFormat="false" ht="18" hidden="false" customHeight="true" outlineLevel="0" collapsed="false">
      <c r="A34" s="13" t="s">
        <v>468</v>
      </c>
      <c r="B34" s="13"/>
      <c r="C34" s="13"/>
      <c r="D34" s="19" t="n">
        <v>203</v>
      </c>
      <c r="E34" s="20" t="n">
        <v>0.218</v>
      </c>
      <c r="F34" s="13" t="s">
        <v>467</v>
      </c>
      <c r="G34" s="13"/>
      <c r="H34" s="13"/>
      <c r="I34" s="13"/>
      <c r="J34" s="13"/>
      <c r="K34" s="13"/>
      <c r="L34" s="13"/>
    </row>
    <row r="35" customFormat="false" ht="18" hidden="false" customHeight="true" outlineLevel="0" collapsed="false">
      <c r="A35" s="12" t="s">
        <v>469</v>
      </c>
      <c r="B35" s="12"/>
      <c r="C35" s="12"/>
      <c r="D35" s="17" t="n">
        <v>377</v>
      </c>
      <c r="E35" s="18" t="n">
        <v>0.405</v>
      </c>
      <c r="F35" s="12" t="s">
        <v>467</v>
      </c>
      <c r="G35" s="12"/>
      <c r="H35" s="12"/>
      <c r="I35" s="12"/>
      <c r="J35" s="12"/>
      <c r="K35" s="12"/>
      <c r="L35" s="12"/>
    </row>
    <row r="36" customFormat="false" ht="18" hidden="false" customHeight="true" outlineLevel="0" collapsed="false">
      <c r="A36" s="13" t="s">
        <v>470</v>
      </c>
      <c r="B36" s="13"/>
      <c r="C36" s="13"/>
      <c r="D36" s="19" t="n">
        <v>147</v>
      </c>
      <c r="E36" s="20" t="n">
        <v>0.158</v>
      </c>
      <c r="F36" s="13"/>
      <c r="G36" s="13"/>
      <c r="H36" s="13"/>
      <c r="I36" s="13"/>
      <c r="J36" s="13"/>
      <c r="K36" s="13"/>
      <c r="L36" s="13"/>
    </row>
    <row r="37" customFormat="false" ht="18" hidden="false" customHeight="true" outlineLevel="0" collapsed="false">
      <c r="A37" s="12" t="s">
        <v>471</v>
      </c>
      <c r="B37" s="12"/>
      <c r="C37" s="12"/>
      <c r="D37" s="17" t="n">
        <v>12</v>
      </c>
      <c r="E37" s="18" t="n">
        <v>0.013</v>
      </c>
      <c r="F37" s="12"/>
      <c r="G37" s="12"/>
      <c r="H37" s="12"/>
      <c r="I37" s="12"/>
      <c r="J37" s="12"/>
      <c r="K37" s="12"/>
      <c r="L37" s="12"/>
    </row>
    <row r="38" customFormat="false" ht="18" hidden="false" customHeight="true" outlineLevel="0" collapsed="false">
      <c r="A38" s="13" t="s">
        <v>472</v>
      </c>
      <c r="B38" s="13"/>
      <c r="C38" s="13"/>
      <c r="D38" s="19" t="n">
        <v>2</v>
      </c>
      <c r="E38" s="20" t="n">
        <v>0.002</v>
      </c>
      <c r="F38" s="13"/>
      <c r="G38" s="13"/>
      <c r="H38" s="13"/>
      <c r="I38" s="13"/>
      <c r="J38" s="13"/>
      <c r="K38" s="13"/>
      <c r="L38" s="13"/>
    </row>
    <row r="40" customFormat="false" ht="21.75" hidden="false" customHeight="true" outlineLevel="0" collapsed="false">
      <c r="A40" s="8" t="s">
        <v>473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true" outlineLevel="0" collapsed="false">
      <c r="A41" s="23" t="s">
        <v>474</v>
      </c>
      <c r="B41" s="23"/>
      <c r="C41" s="23"/>
      <c r="D41" s="16" t="s">
        <v>75</v>
      </c>
      <c r="E41" s="16" t="s">
        <v>76</v>
      </c>
    </row>
    <row r="42" customFormat="false" ht="18" hidden="false" customHeight="true" outlineLevel="0" collapsed="false">
      <c r="A42" s="12" t="s">
        <v>475</v>
      </c>
      <c r="B42" s="12"/>
      <c r="C42" s="12"/>
      <c r="D42" s="17" t="n">
        <v>298</v>
      </c>
      <c r="E42" s="18" t="n">
        <v>0.32</v>
      </c>
    </row>
    <row r="43" customFormat="false" ht="18" hidden="false" customHeight="true" outlineLevel="0" collapsed="false">
      <c r="A43" s="13" t="s">
        <v>476</v>
      </c>
      <c r="B43" s="13"/>
      <c r="C43" s="13"/>
      <c r="D43" s="19" t="n">
        <v>326</v>
      </c>
      <c r="E43" s="20" t="n">
        <v>0.35</v>
      </c>
    </row>
    <row r="44" customFormat="false" ht="18" hidden="false" customHeight="true" outlineLevel="0" collapsed="false">
      <c r="A44" s="12" t="s">
        <v>477</v>
      </c>
      <c r="B44" s="12"/>
      <c r="C44" s="12"/>
      <c r="D44" s="17" t="n">
        <v>243</v>
      </c>
      <c r="E44" s="18" t="n">
        <v>0.261</v>
      </c>
    </row>
    <row r="45" customFormat="false" ht="18" hidden="false" customHeight="true" outlineLevel="0" collapsed="false">
      <c r="A45" s="13" t="s">
        <v>478</v>
      </c>
      <c r="B45" s="13"/>
      <c r="C45" s="13"/>
      <c r="D45" s="19" t="n">
        <v>58</v>
      </c>
      <c r="E45" s="20" t="n">
        <v>0.062</v>
      </c>
    </row>
    <row r="46" customFormat="false" ht="18" hidden="false" customHeight="true" outlineLevel="0" collapsed="false">
      <c r="A46" s="12" t="s">
        <v>479</v>
      </c>
      <c r="B46" s="12"/>
      <c r="C46" s="12"/>
      <c r="D46" s="17" t="n">
        <v>7</v>
      </c>
      <c r="E46" s="18" t="n">
        <v>0.008</v>
      </c>
    </row>
    <row r="48" customFormat="false" ht="18" hidden="false" customHeight="true" outlineLevel="0" collapsed="false">
      <c r="A48" s="29" t="s">
        <v>480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</sheetData>
  <mergeCells count="71">
    <mergeCell ref="A1:L1"/>
    <mergeCell ref="A3:L3"/>
    <mergeCell ref="B4:E4"/>
    <mergeCell ref="H4:L4"/>
    <mergeCell ref="B5:E5"/>
    <mergeCell ref="H5:L5"/>
    <mergeCell ref="B6:E6"/>
    <mergeCell ref="H6:L6"/>
    <mergeCell ref="B7:E7"/>
    <mergeCell ref="H7:L7"/>
    <mergeCell ref="B8:E8"/>
    <mergeCell ref="H8:L8"/>
    <mergeCell ref="B9:E9"/>
    <mergeCell ref="H9:L9"/>
    <mergeCell ref="B10:E10"/>
    <mergeCell ref="H10:L10"/>
    <mergeCell ref="B11:E11"/>
    <mergeCell ref="H11:L11"/>
    <mergeCell ref="B12:E12"/>
    <mergeCell ref="H12:L12"/>
    <mergeCell ref="B13:E13"/>
    <mergeCell ref="H13:L13"/>
    <mergeCell ref="A15:L15"/>
    <mergeCell ref="B16:E16"/>
    <mergeCell ref="H16:L16"/>
    <mergeCell ref="B17:E17"/>
    <mergeCell ref="H17:L17"/>
    <mergeCell ref="B18:E18"/>
    <mergeCell ref="H18:L18"/>
    <mergeCell ref="B19:E19"/>
    <mergeCell ref="H19:L19"/>
    <mergeCell ref="B20:E20"/>
    <mergeCell ref="H20:L20"/>
    <mergeCell ref="B21:E21"/>
    <mergeCell ref="H21:L21"/>
    <mergeCell ref="B22:E22"/>
    <mergeCell ref="H22:L22"/>
    <mergeCell ref="A24:L24"/>
    <mergeCell ref="A25:C25"/>
    <mergeCell ref="H25:L25"/>
    <mergeCell ref="A26:C26"/>
    <mergeCell ref="H26:L26"/>
    <mergeCell ref="A27:C27"/>
    <mergeCell ref="H27:L27"/>
    <mergeCell ref="A28:C28"/>
    <mergeCell ref="H28:L28"/>
    <mergeCell ref="A29:C29"/>
    <mergeCell ref="H29:L29"/>
    <mergeCell ref="A31:L31"/>
    <mergeCell ref="A32:C32"/>
    <mergeCell ref="F32:L32"/>
    <mergeCell ref="A33:C33"/>
    <mergeCell ref="F33:L33"/>
    <mergeCell ref="A34:C34"/>
    <mergeCell ref="F34:L34"/>
    <mergeCell ref="A35:C35"/>
    <mergeCell ref="F35:L35"/>
    <mergeCell ref="A36:C36"/>
    <mergeCell ref="F36:L36"/>
    <mergeCell ref="A37:C37"/>
    <mergeCell ref="F37:L37"/>
    <mergeCell ref="A38:C38"/>
    <mergeCell ref="F38:L38"/>
    <mergeCell ref="A40:L40"/>
    <mergeCell ref="A41:C41"/>
    <mergeCell ref="A42:C42"/>
    <mergeCell ref="A43:C43"/>
    <mergeCell ref="A44:C44"/>
    <mergeCell ref="A45:C45"/>
    <mergeCell ref="A46:C46"/>
    <mergeCell ref="A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5"/>
    <col collapsed="false" customWidth="true" hidden="false" outlineLevel="0" max="13" min="12" style="1" width="10"/>
    <col collapsed="false" customWidth="true" hidden="false" outlineLevel="0" max="14" min="14" style="1" width="24"/>
  </cols>
  <sheetData>
    <row r="1" customFormat="false" ht="31.5" hidden="false" customHeight="true" outlineLevel="0" collapsed="false">
      <c r="A1" s="15" t="s">
        <v>481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9.5" hidden="false" customHeight="true" outlineLevel="0" collapsed="false">
      <c r="A2" s="3" t="s">
        <v>482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8" t="s">
        <v>483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5" hidden="false" customHeight="true" outlineLevel="0" collapsed="false">
      <c r="A5" s="23" t="s">
        <v>9</v>
      </c>
      <c r="B5" s="23"/>
      <c r="C5" s="23"/>
      <c r="D5" s="23"/>
      <c r="E5" s="23" t="s">
        <v>484</v>
      </c>
      <c r="F5" s="23"/>
      <c r="G5" s="23" t="s">
        <v>485</v>
      </c>
      <c r="H5" s="23"/>
      <c r="I5" s="23"/>
      <c r="J5" s="23"/>
      <c r="K5" s="23"/>
      <c r="L5" s="23"/>
      <c r="M5" s="23"/>
      <c r="N5" s="23"/>
    </row>
    <row r="6" customFormat="false" ht="18" hidden="false" customHeight="true" outlineLevel="0" collapsed="false">
      <c r="A6" s="34" t="s">
        <v>486</v>
      </c>
      <c r="B6" s="34"/>
      <c r="C6" s="34"/>
      <c r="D6" s="34"/>
      <c r="E6" s="35" t="n">
        <v>30</v>
      </c>
      <c r="F6" s="35"/>
      <c r="G6" s="36" t="s">
        <v>487</v>
      </c>
      <c r="H6" s="36"/>
      <c r="I6" s="36"/>
      <c r="J6" s="36"/>
      <c r="K6" s="36"/>
      <c r="L6" s="36"/>
      <c r="M6" s="36"/>
      <c r="N6" s="36"/>
    </row>
    <row r="7" customFormat="false" ht="18" hidden="false" customHeight="true" outlineLevel="0" collapsed="false">
      <c r="A7" s="37" t="s">
        <v>488</v>
      </c>
      <c r="B7" s="37"/>
      <c r="C7" s="37"/>
      <c r="D7" s="37"/>
      <c r="E7" s="35" t="n">
        <v>4</v>
      </c>
      <c r="F7" s="35"/>
      <c r="G7" s="38" t="s">
        <v>489</v>
      </c>
      <c r="H7" s="38"/>
      <c r="I7" s="38"/>
      <c r="J7" s="38"/>
      <c r="K7" s="38"/>
      <c r="L7" s="38"/>
      <c r="M7" s="38"/>
      <c r="N7" s="38"/>
    </row>
    <row r="8" customFormat="false" ht="18" hidden="false" customHeight="true" outlineLevel="0" collapsed="false">
      <c r="A8" s="34" t="s">
        <v>490</v>
      </c>
      <c r="B8" s="34"/>
      <c r="C8" s="34"/>
      <c r="D8" s="34"/>
      <c r="E8" s="35" t="n">
        <f aca="false">B8*B9</f>
        <v>0</v>
      </c>
      <c r="F8" s="35"/>
      <c r="G8" s="36" t="s">
        <v>491</v>
      </c>
      <c r="H8" s="36"/>
      <c r="I8" s="36"/>
      <c r="J8" s="36"/>
      <c r="K8" s="36"/>
      <c r="L8" s="36"/>
      <c r="M8" s="36"/>
      <c r="N8" s="36"/>
    </row>
    <row r="9" customFormat="false" ht="18" hidden="false" customHeight="true" outlineLevel="0" collapsed="false">
      <c r="A9" s="37" t="s">
        <v>492</v>
      </c>
      <c r="B9" s="37"/>
      <c r="C9" s="37"/>
      <c r="D9" s="37"/>
      <c r="E9" s="35" t="n">
        <v>5</v>
      </c>
      <c r="F9" s="35"/>
      <c r="G9" s="38" t="s">
        <v>493</v>
      </c>
      <c r="H9" s="38"/>
      <c r="I9" s="38"/>
      <c r="J9" s="38"/>
      <c r="K9" s="38"/>
      <c r="L9" s="38"/>
      <c r="M9" s="38"/>
      <c r="N9" s="38"/>
    </row>
    <row r="10" customFormat="false" ht="18" hidden="false" customHeight="true" outlineLevel="0" collapsed="false">
      <c r="A10" s="34" t="s">
        <v>494</v>
      </c>
      <c r="B10" s="34"/>
      <c r="C10" s="34"/>
      <c r="D10" s="34"/>
      <c r="E10" s="35" t="n">
        <v>3</v>
      </c>
      <c r="F10" s="35"/>
      <c r="G10" s="36" t="s">
        <v>495</v>
      </c>
      <c r="H10" s="36"/>
      <c r="I10" s="36"/>
      <c r="J10" s="36"/>
      <c r="K10" s="36"/>
      <c r="L10" s="36"/>
      <c r="M10" s="36"/>
      <c r="N10" s="36"/>
    </row>
    <row r="11" customFormat="false" ht="18" hidden="false" customHeight="true" outlineLevel="0" collapsed="false">
      <c r="A11" s="37" t="s">
        <v>496</v>
      </c>
      <c r="B11" s="37"/>
      <c r="C11" s="37"/>
      <c r="D11" s="37"/>
      <c r="E11" s="39" t="n">
        <v>0.7</v>
      </c>
      <c r="F11" s="39"/>
      <c r="G11" s="38" t="s">
        <v>497</v>
      </c>
      <c r="H11" s="38"/>
      <c r="I11" s="38"/>
      <c r="J11" s="38"/>
      <c r="K11" s="38"/>
      <c r="L11" s="38"/>
      <c r="M11" s="38"/>
      <c r="N11" s="38"/>
    </row>
    <row r="12" customFormat="false" ht="18" hidden="false" customHeight="true" outlineLevel="0" collapsed="false">
      <c r="A12" s="34" t="s">
        <v>498</v>
      </c>
      <c r="B12" s="34"/>
      <c r="C12" s="34"/>
      <c r="D12" s="34"/>
      <c r="E12" s="39" t="n">
        <v>0.45</v>
      </c>
      <c r="F12" s="39"/>
      <c r="G12" s="36" t="s">
        <v>499</v>
      </c>
      <c r="H12" s="36"/>
      <c r="I12" s="36"/>
      <c r="J12" s="36"/>
      <c r="K12" s="36"/>
      <c r="L12" s="36"/>
      <c r="M12" s="36"/>
      <c r="N12" s="36"/>
    </row>
    <row r="13" customFormat="false" ht="18" hidden="false" customHeight="true" outlineLevel="0" collapsed="false">
      <c r="A13" s="37" t="s">
        <v>500</v>
      </c>
      <c r="B13" s="37"/>
      <c r="C13" s="37"/>
      <c r="D13" s="37"/>
      <c r="E13" s="35" t="n">
        <v>2</v>
      </c>
      <c r="F13" s="35"/>
      <c r="G13" s="38" t="s">
        <v>501</v>
      </c>
      <c r="H13" s="38"/>
      <c r="I13" s="38"/>
      <c r="J13" s="38"/>
      <c r="K13" s="38"/>
      <c r="L13" s="38"/>
      <c r="M13" s="38"/>
      <c r="N13" s="38"/>
    </row>
    <row r="14" customFormat="false" ht="18" hidden="false" customHeight="true" outlineLevel="0" collapsed="false">
      <c r="A14" s="34" t="s">
        <v>502</v>
      </c>
      <c r="B14" s="34"/>
      <c r="C14" s="34"/>
      <c r="D14" s="34"/>
      <c r="E14" s="35" t="n">
        <v>22</v>
      </c>
      <c r="F14" s="35"/>
      <c r="G14" s="36" t="s">
        <v>503</v>
      </c>
      <c r="H14" s="36"/>
      <c r="I14" s="36"/>
      <c r="J14" s="36"/>
      <c r="K14" s="36"/>
      <c r="L14" s="36"/>
      <c r="M14" s="36"/>
      <c r="N14" s="36"/>
    </row>
    <row r="15" customFormat="false" ht="18" hidden="false" customHeight="true" outlineLevel="0" collapsed="false">
      <c r="A15" s="37" t="s">
        <v>504</v>
      </c>
      <c r="B15" s="37"/>
      <c r="C15" s="37"/>
      <c r="D15" s="37"/>
      <c r="E15" s="40" t="n">
        <v>35000</v>
      </c>
      <c r="F15" s="40"/>
      <c r="G15" s="38" t="s">
        <v>505</v>
      </c>
      <c r="H15" s="38"/>
      <c r="I15" s="38"/>
      <c r="J15" s="38"/>
      <c r="K15" s="38"/>
      <c r="L15" s="38"/>
      <c r="M15" s="38"/>
      <c r="N15" s="38"/>
    </row>
    <row r="16" customFormat="false" ht="18" hidden="false" customHeight="true" outlineLevel="0" collapsed="false">
      <c r="A16" s="34" t="s">
        <v>506</v>
      </c>
      <c r="B16" s="34"/>
      <c r="C16" s="34"/>
      <c r="D16" s="34"/>
      <c r="E16" s="40" t="n">
        <v>25000</v>
      </c>
      <c r="F16" s="40"/>
      <c r="G16" s="36" t="s">
        <v>507</v>
      </c>
      <c r="H16" s="36"/>
      <c r="I16" s="36"/>
      <c r="J16" s="36"/>
      <c r="K16" s="36"/>
      <c r="L16" s="36"/>
      <c r="M16" s="36"/>
      <c r="N16" s="36"/>
    </row>
    <row r="17" customFormat="false" ht="18" hidden="false" customHeight="true" outlineLevel="0" collapsed="false">
      <c r="A17" s="37" t="s">
        <v>508</v>
      </c>
      <c r="B17" s="37"/>
      <c r="C17" s="37"/>
      <c r="D17" s="37"/>
      <c r="E17" s="40" t="n">
        <v>15000</v>
      </c>
      <c r="F17" s="40"/>
      <c r="G17" s="38" t="s">
        <v>509</v>
      </c>
      <c r="H17" s="38"/>
      <c r="I17" s="38"/>
      <c r="J17" s="38"/>
      <c r="K17" s="38"/>
      <c r="L17" s="38"/>
      <c r="M17" s="38"/>
      <c r="N17" s="38"/>
    </row>
    <row r="18" customFormat="false" ht="18" hidden="false" customHeight="true" outlineLevel="0" collapsed="false">
      <c r="A18" s="34" t="s">
        <v>510</v>
      </c>
      <c r="B18" s="34"/>
      <c r="C18" s="34"/>
      <c r="D18" s="34"/>
      <c r="E18" s="40" t="n">
        <v>25000</v>
      </c>
      <c r="F18" s="40"/>
      <c r="G18" s="36" t="s">
        <v>511</v>
      </c>
      <c r="H18" s="36"/>
      <c r="I18" s="36"/>
      <c r="J18" s="36"/>
      <c r="K18" s="36"/>
      <c r="L18" s="36"/>
      <c r="M18" s="36"/>
      <c r="N18" s="36"/>
    </row>
    <row r="19" customFormat="false" ht="18" hidden="false" customHeight="true" outlineLevel="0" collapsed="false">
      <c r="A19" s="37" t="s">
        <v>512</v>
      </c>
      <c r="B19" s="37"/>
      <c r="C19" s="37"/>
      <c r="D19" s="37"/>
      <c r="E19" s="40" t="n">
        <v>1500</v>
      </c>
      <c r="F19" s="40"/>
      <c r="G19" s="38" t="s">
        <v>513</v>
      </c>
      <c r="H19" s="38"/>
      <c r="I19" s="38"/>
      <c r="J19" s="38"/>
      <c r="K19" s="38"/>
      <c r="L19" s="38"/>
      <c r="M19" s="38"/>
      <c r="N19" s="38"/>
    </row>
    <row r="20" customFormat="false" ht="18" hidden="false" customHeight="true" outlineLevel="0" collapsed="false">
      <c r="A20" s="34" t="s">
        <v>514</v>
      </c>
      <c r="B20" s="34"/>
      <c r="C20" s="34"/>
      <c r="D20" s="34"/>
      <c r="E20" s="40" t="n">
        <v>50000</v>
      </c>
      <c r="F20" s="40"/>
      <c r="G20" s="36" t="s">
        <v>515</v>
      </c>
      <c r="H20" s="36"/>
      <c r="I20" s="36"/>
      <c r="J20" s="36"/>
      <c r="K20" s="36"/>
      <c r="L20" s="36"/>
      <c r="M20" s="36"/>
      <c r="N20" s="36"/>
    </row>
    <row r="22" customFormat="false" ht="21.75" hidden="false" customHeight="true" outlineLevel="0" collapsed="false">
      <c r="A22" s="8" t="s">
        <v>516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6.25" hidden="false" customHeight="true" outlineLevel="0" collapsed="false">
      <c r="A23" s="23" t="s">
        <v>517</v>
      </c>
      <c r="B23" s="23"/>
      <c r="C23" s="23"/>
      <c r="D23" s="23" t="s">
        <v>518</v>
      </c>
      <c r="E23" s="23"/>
      <c r="F23" s="23"/>
      <c r="G23" s="23"/>
      <c r="H23" s="23" t="s">
        <v>519</v>
      </c>
      <c r="I23" s="23"/>
      <c r="J23" s="16" t="s">
        <v>520</v>
      </c>
      <c r="K23" s="23" t="s">
        <v>521</v>
      </c>
      <c r="L23" s="23"/>
      <c r="M23" s="16" t="s">
        <v>522</v>
      </c>
      <c r="N23" s="16" t="s">
        <v>223</v>
      </c>
    </row>
    <row r="24" customFormat="false" ht="19.5" hidden="false" customHeight="true" outlineLevel="0" collapsed="false">
      <c r="A24" s="34" t="s">
        <v>523</v>
      </c>
      <c r="B24" s="34"/>
      <c r="C24" s="34"/>
      <c r="D24" s="41" t="s">
        <v>524</v>
      </c>
      <c r="E24" s="41"/>
      <c r="F24" s="41"/>
      <c r="G24" s="41"/>
      <c r="H24" s="42" t="n">
        <f aca="false">E15</f>
        <v>35000</v>
      </c>
      <c r="I24" s="42"/>
      <c r="J24" s="43" t="n">
        <f aca="false">12</f>
        <v>12</v>
      </c>
      <c r="K24" s="42" t="n">
        <f aca="false">H24*J24</f>
        <v>420000</v>
      </c>
      <c r="L24" s="42"/>
      <c r="M24" s="44" t="n">
        <f aca="false">K24/H43</f>
        <v>0.142287990893569</v>
      </c>
      <c r="N24" s="45" t="s">
        <v>525</v>
      </c>
    </row>
    <row r="25" customFormat="false" ht="19.5" hidden="false" customHeight="true" outlineLevel="0" collapsed="false">
      <c r="A25" s="37" t="s">
        <v>523</v>
      </c>
      <c r="B25" s="37"/>
      <c r="C25" s="37"/>
      <c r="D25" s="46" t="s">
        <v>526</v>
      </c>
      <c r="E25" s="46"/>
      <c r="F25" s="46"/>
      <c r="G25" s="46"/>
      <c r="H25" s="47" t="n">
        <f aca="false">E18</f>
        <v>25000</v>
      </c>
      <c r="I25" s="47"/>
      <c r="J25" s="48" t="n">
        <f aca="false">12</f>
        <v>12</v>
      </c>
      <c r="K25" s="47" t="n">
        <f aca="false">H25*J25</f>
        <v>300000</v>
      </c>
      <c r="L25" s="47"/>
      <c r="M25" s="49" t="n">
        <f aca="false">K25/H43</f>
        <v>0.101634279209692</v>
      </c>
      <c r="N25" s="50" t="s">
        <v>527</v>
      </c>
    </row>
    <row r="26" customFormat="false" ht="19.5" hidden="false" customHeight="true" outlineLevel="0" collapsed="false">
      <c r="A26" s="34" t="s">
        <v>523</v>
      </c>
      <c r="B26" s="34"/>
      <c r="C26" s="34"/>
      <c r="D26" s="41" t="s">
        <v>528</v>
      </c>
      <c r="E26" s="41"/>
      <c r="F26" s="41"/>
      <c r="G26" s="41"/>
      <c r="H26" s="42" t="n">
        <f aca="false">18000</f>
        <v>18000</v>
      </c>
      <c r="I26" s="42"/>
      <c r="J26" s="43" t="n">
        <f aca="false">12</f>
        <v>12</v>
      </c>
      <c r="K26" s="42" t="n">
        <f aca="false">H26*J26</f>
        <v>216000</v>
      </c>
      <c r="L26" s="42"/>
      <c r="M26" s="44" t="n">
        <f aca="false">K26/H43</f>
        <v>0.0731766810309781</v>
      </c>
      <c r="N26" s="45" t="s">
        <v>529</v>
      </c>
    </row>
    <row r="27" customFormat="false" ht="19.5" hidden="false" customHeight="true" outlineLevel="0" collapsed="false">
      <c r="A27" s="37" t="s">
        <v>523</v>
      </c>
      <c r="B27" s="37"/>
      <c r="C27" s="37"/>
      <c r="D27" s="46" t="s">
        <v>530</v>
      </c>
      <c r="E27" s="46"/>
      <c r="F27" s="46"/>
      <c r="G27" s="46"/>
      <c r="H27" s="47" t="n">
        <f aca="false">15000</f>
        <v>15000</v>
      </c>
      <c r="I27" s="47"/>
      <c r="J27" s="48" t="n">
        <f aca="false">12</f>
        <v>12</v>
      </c>
      <c r="K27" s="47" t="n">
        <f aca="false">H27*J27</f>
        <v>180000</v>
      </c>
      <c r="L27" s="47"/>
      <c r="M27" s="49" t="n">
        <f aca="false">K27/H43</f>
        <v>0.0609805675258151</v>
      </c>
      <c r="N27" s="50" t="s">
        <v>531</v>
      </c>
    </row>
    <row r="28" customFormat="false" ht="19.5" hidden="false" customHeight="true" outlineLevel="0" collapsed="false">
      <c r="A28" s="34" t="s">
        <v>532</v>
      </c>
      <c r="B28" s="34"/>
      <c r="C28" s="34"/>
      <c r="D28" s="41" t="s">
        <v>533</v>
      </c>
      <c r="E28" s="41"/>
      <c r="F28" s="41"/>
      <c r="G28" s="41"/>
      <c r="H28" s="42" t="n">
        <f aca="false">E16</f>
        <v>25000</v>
      </c>
      <c r="I28" s="42"/>
      <c r="J28" s="43" t="n">
        <f aca="false">12</f>
        <v>12</v>
      </c>
      <c r="K28" s="42" t="n">
        <f aca="false">H28*J28</f>
        <v>300000</v>
      </c>
      <c r="L28" s="42"/>
      <c r="M28" s="44" t="n">
        <f aca="false">K28/H43</f>
        <v>0.101634279209692</v>
      </c>
      <c r="N28" s="45" t="s">
        <v>534</v>
      </c>
    </row>
    <row r="29" customFormat="false" ht="19.5" hidden="false" customHeight="true" outlineLevel="0" collapsed="false">
      <c r="A29" s="37" t="s">
        <v>532</v>
      </c>
      <c r="B29" s="37"/>
      <c r="C29" s="37"/>
      <c r="D29" s="46" t="s">
        <v>535</v>
      </c>
      <c r="E29" s="46"/>
      <c r="F29" s="46"/>
      <c r="G29" s="46"/>
      <c r="H29" s="47" t="n">
        <f aca="false">8000</f>
        <v>8000</v>
      </c>
      <c r="I29" s="47"/>
      <c r="J29" s="48" t="n">
        <f aca="false">12</f>
        <v>12</v>
      </c>
      <c r="K29" s="47" t="n">
        <f aca="false">H29*J29</f>
        <v>96000</v>
      </c>
      <c r="L29" s="47"/>
      <c r="M29" s="49" t="n">
        <f aca="false">K29/H43</f>
        <v>0.0325229693471014</v>
      </c>
      <c r="N29" s="50" t="s">
        <v>536</v>
      </c>
    </row>
    <row r="30" customFormat="false" ht="19.5" hidden="false" customHeight="true" outlineLevel="0" collapsed="false">
      <c r="A30" s="34" t="s">
        <v>532</v>
      </c>
      <c r="B30" s="34"/>
      <c r="C30" s="34"/>
      <c r="D30" s="41" t="s">
        <v>537</v>
      </c>
      <c r="E30" s="41"/>
      <c r="F30" s="41"/>
      <c r="G30" s="41"/>
      <c r="H30" s="42" t="n">
        <f aca="false">E17</f>
        <v>15000</v>
      </c>
      <c r="I30" s="42"/>
      <c r="J30" s="43" t="n">
        <f aca="false">12</f>
        <v>12</v>
      </c>
      <c r="K30" s="42" t="n">
        <f aca="false">H30*J30</f>
        <v>180000</v>
      </c>
      <c r="L30" s="42"/>
      <c r="M30" s="44" t="n">
        <f aca="false">K30/H43</f>
        <v>0.0609805675258151</v>
      </c>
      <c r="N30" s="45" t="s">
        <v>538</v>
      </c>
    </row>
    <row r="31" customFormat="false" ht="19.5" hidden="false" customHeight="true" outlineLevel="0" collapsed="false">
      <c r="A31" s="37" t="s">
        <v>539</v>
      </c>
      <c r="B31" s="37"/>
      <c r="C31" s="37"/>
      <c r="D31" s="46" t="s">
        <v>540</v>
      </c>
      <c r="E31" s="46"/>
      <c r="F31" s="46"/>
      <c r="G31" s="46"/>
      <c r="H31" s="47" t="n">
        <f aca="false">500</f>
        <v>500</v>
      </c>
      <c r="I31" s="47"/>
      <c r="J31" s="48" t="n">
        <f aca="false">E6*E7</f>
        <v>120</v>
      </c>
      <c r="K31" s="47" t="n">
        <f aca="false">H31*J31</f>
        <v>60000</v>
      </c>
      <c r="L31" s="47"/>
      <c r="M31" s="49" t="n">
        <f aca="false">K31/H43</f>
        <v>0.0203268558419384</v>
      </c>
      <c r="N31" s="50" t="s">
        <v>541</v>
      </c>
    </row>
    <row r="32" customFormat="false" ht="19.5" hidden="false" customHeight="true" outlineLevel="0" collapsed="false">
      <c r="A32" s="34" t="s">
        <v>539</v>
      </c>
      <c r="B32" s="34"/>
      <c r="C32" s="34"/>
      <c r="D32" s="41" t="s">
        <v>542</v>
      </c>
      <c r="E32" s="41"/>
      <c r="F32" s="41"/>
      <c r="G32" s="41"/>
      <c r="H32" s="42" t="n">
        <f aca="false">200</f>
        <v>200</v>
      </c>
      <c r="I32" s="42"/>
      <c r="J32" s="43" t="n">
        <f aca="false">E6*E7</f>
        <v>120</v>
      </c>
      <c r="K32" s="42" t="n">
        <f aca="false">H32*J32</f>
        <v>24000</v>
      </c>
      <c r="L32" s="42"/>
      <c r="M32" s="44" t="n">
        <f aca="false">K32/H43</f>
        <v>0.00813074233677535</v>
      </c>
      <c r="N32" s="45" t="s">
        <v>543</v>
      </c>
    </row>
    <row r="33" customFormat="false" ht="19.5" hidden="false" customHeight="true" outlineLevel="0" collapsed="false">
      <c r="A33" s="37" t="s">
        <v>544</v>
      </c>
      <c r="B33" s="37"/>
      <c r="C33" s="37"/>
      <c r="D33" s="46" t="s">
        <v>545</v>
      </c>
      <c r="E33" s="46"/>
      <c r="F33" s="46"/>
      <c r="G33" s="46"/>
      <c r="H33" s="47" t="n">
        <f aca="false">E19</f>
        <v>1500</v>
      </c>
      <c r="I33" s="47"/>
      <c r="J33" s="48" t="n">
        <f aca="false">3*E6*E7</f>
        <v>360</v>
      </c>
      <c r="K33" s="47" t="n">
        <f aca="false">H33*J33</f>
        <v>540000</v>
      </c>
      <c r="L33" s="47"/>
      <c r="M33" s="49" t="n">
        <f aca="false">K33/H43</f>
        <v>0.182941702577445</v>
      </c>
      <c r="N33" s="50" t="s">
        <v>546</v>
      </c>
    </row>
    <row r="34" customFormat="false" ht="19.5" hidden="false" customHeight="true" outlineLevel="0" collapsed="false">
      <c r="A34" s="34" t="s">
        <v>544</v>
      </c>
      <c r="B34" s="34"/>
      <c r="C34" s="34"/>
      <c r="D34" s="41" t="s">
        <v>547</v>
      </c>
      <c r="E34" s="41"/>
      <c r="F34" s="41"/>
      <c r="G34" s="41"/>
      <c r="H34" s="42" t="n">
        <f aca="false">500</f>
        <v>500</v>
      </c>
      <c r="I34" s="42"/>
      <c r="J34" s="43" t="n">
        <f aca="false">E6*E7</f>
        <v>120</v>
      </c>
      <c r="K34" s="42" t="n">
        <f aca="false">H34*J34</f>
        <v>60000</v>
      </c>
      <c r="L34" s="42"/>
      <c r="M34" s="44" t="n">
        <f aca="false">K34/H43</f>
        <v>0.0203268558419384</v>
      </c>
      <c r="N34" s="45" t="s">
        <v>548</v>
      </c>
    </row>
    <row r="35" customFormat="false" ht="19.5" hidden="false" customHeight="true" outlineLevel="0" collapsed="false">
      <c r="A35" s="37" t="s">
        <v>549</v>
      </c>
      <c r="B35" s="37"/>
      <c r="C35" s="37"/>
      <c r="D35" s="46" t="s">
        <v>550</v>
      </c>
      <c r="E35" s="46"/>
      <c r="F35" s="46"/>
      <c r="G35" s="46"/>
      <c r="H35" s="47" t="n">
        <f aca="false">E20</f>
        <v>50000</v>
      </c>
      <c r="I35" s="47"/>
      <c r="J35" s="48" t="n">
        <f aca="false">4</f>
        <v>4</v>
      </c>
      <c r="K35" s="47" t="n">
        <f aca="false">H35*J35</f>
        <v>200000</v>
      </c>
      <c r="L35" s="47"/>
      <c r="M35" s="49" t="n">
        <f aca="false">K35/H43</f>
        <v>0.0677561861397946</v>
      </c>
      <c r="N35" s="50" t="s">
        <v>551</v>
      </c>
    </row>
    <row r="36" customFormat="false" ht="19.5" hidden="false" customHeight="true" outlineLevel="0" collapsed="false">
      <c r="A36" s="34" t="s">
        <v>549</v>
      </c>
      <c r="B36" s="34"/>
      <c r="C36" s="34"/>
      <c r="D36" s="41" t="s">
        <v>552</v>
      </c>
      <c r="E36" s="41"/>
      <c r="F36" s="41"/>
      <c r="G36" s="41"/>
      <c r="H36" s="42" t="n">
        <f aca="false">15000</f>
        <v>15000</v>
      </c>
      <c r="I36" s="42"/>
      <c r="J36" s="43" t="n">
        <f aca="false">4</f>
        <v>4</v>
      </c>
      <c r="K36" s="42" t="n">
        <f aca="false">H36*J36</f>
        <v>60000</v>
      </c>
      <c r="L36" s="42"/>
      <c r="M36" s="44" t="n">
        <f aca="false">K36/H43</f>
        <v>0.0203268558419384</v>
      </c>
      <c r="N36" s="45" t="s">
        <v>553</v>
      </c>
    </row>
    <row r="37" customFormat="false" ht="19.5" hidden="false" customHeight="true" outlineLevel="0" collapsed="false">
      <c r="A37" s="37" t="s">
        <v>554</v>
      </c>
      <c r="B37" s="37"/>
      <c r="C37" s="37"/>
      <c r="D37" s="46" t="s">
        <v>555</v>
      </c>
      <c r="E37" s="46"/>
      <c r="F37" s="46"/>
      <c r="G37" s="46"/>
      <c r="H37" s="47" t="n">
        <f aca="false">40000</f>
        <v>40000</v>
      </c>
      <c r="I37" s="47"/>
      <c r="J37" s="48" t="n">
        <f aca="false">2</f>
        <v>2</v>
      </c>
      <c r="K37" s="47" t="n">
        <f aca="false">H37*J37</f>
        <v>80000</v>
      </c>
      <c r="L37" s="47"/>
      <c r="M37" s="49" t="n">
        <f aca="false">K37/H43</f>
        <v>0.0271024744559178</v>
      </c>
      <c r="N37" s="50" t="s">
        <v>556</v>
      </c>
    </row>
    <row r="38" customFormat="false" ht="19.5" hidden="false" customHeight="true" outlineLevel="0" collapsed="false">
      <c r="A38" s="34" t="s">
        <v>554</v>
      </c>
      <c r="B38" s="34"/>
      <c r="C38" s="34"/>
      <c r="D38" s="41" t="s">
        <v>557</v>
      </c>
      <c r="E38" s="41"/>
      <c r="F38" s="41"/>
      <c r="G38" s="41"/>
      <c r="H38" s="42" t="n">
        <f aca="false">300</f>
        <v>300</v>
      </c>
      <c r="I38" s="42"/>
      <c r="J38" s="43" t="n">
        <f aca="false">ROUND(E6*E7*E11,0)</f>
        <v>84</v>
      </c>
      <c r="K38" s="42" t="n">
        <f aca="false">H38*J38</f>
        <v>25200</v>
      </c>
      <c r="L38" s="42"/>
      <c r="M38" s="44" t="n">
        <f aca="false">K38/H43</f>
        <v>0.00853727945361412</v>
      </c>
      <c r="N38" s="45" t="s">
        <v>558</v>
      </c>
    </row>
    <row r="39" customFormat="false" ht="19.5" hidden="false" customHeight="true" outlineLevel="0" collapsed="false">
      <c r="A39" s="37" t="s">
        <v>559</v>
      </c>
      <c r="B39" s="37"/>
      <c r="C39" s="37"/>
      <c r="D39" s="46" t="s">
        <v>560</v>
      </c>
      <c r="E39" s="46"/>
      <c r="F39" s="46"/>
      <c r="G39" s="46"/>
      <c r="H39" s="47" t="n">
        <f aca="false">20000</f>
        <v>20000</v>
      </c>
      <c r="I39" s="47"/>
      <c r="J39" s="48" t="n">
        <f aca="false">1</f>
        <v>1</v>
      </c>
      <c r="K39" s="47" t="n">
        <f aca="false">H39*J39</f>
        <v>20000</v>
      </c>
      <c r="L39" s="47"/>
      <c r="M39" s="49" t="n">
        <f aca="false">K39/H43</f>
        <v>0.00677561861397946</v>
      </c>
      <c r="N39" s="50" t="s">
        <v>561</v>
      </c>
    </row>
    <row r="40" customFormat="false" ht="19.5" hidden="false" customHeight="true" outlineLevel="0" collapsed="false">
      <c r="A40" s="34" t="s">
        <v>559</v>
      </c>
      <c r="B40" s="34"/>
      <c r="C40" s="34"/>
      <c r="D40" s="41" t="s">
        <v>562</v>
      </c>
      <c r="E40" s="41"/>
      <c r="F40" s="41"/>
      <c r="G40" s="41"/>
      <c r="H40" s="42" t="n">
        <f aca="false">50000</f>
        <v>50000</v>
      </c>
      <c r="I40" s="42"/>
      <c r="J40" s="43" t="n">
        <f aca="false">1</f>
        <v>1</v>
      </c>
      <c r="K40" s="42" t="n">
        <f aca="false">H40*J40</f>
        <v>50000</v>
      </c>
      <c r="L40" s="42"/>
      <c r="M40" s="44" t="n">
        <f aca="false">K40/H43</f>
        <v>0.0169390465349486</v>
      </c>
      <c r="N40" s="45" t="s">
        <v>563</v>
      </c>
    </row>
    <row r="41" customFormat="false" ht="21.75" hidden="false" customHeight="true" outlineLevel="0" collapsed="false">
      <c r="A41" s="51" t="s">
        <v>564</v>
      </c>
      <c r="B41" s="51"/>
      <c r="C41" s="51"/>
      <c r="D41" s="51"/>
      <c r="E41" s="51"/>
      <c r="F41" s="51"/>
      <c r="G41" s="51"/>
      <c r="H41" s="52" t="n">
        <f aca="false">SUM(K24:K40)</f>
        <v>2811200</v>
      </c>
      <c r="I41" s="52"/>
      <c r="J41" s="52"/>
      <c r="K41" s="52"/>
      <c r="L41" s="52"/>
      <c r="M41" s="53"/>
      <c r="N41" s="53"/>
    </row>
    <row r="42" customFormat="false" ht="19.5" hidden="false" customHeight="true" outlineLevel="0" collapsed="false">
      <c r="A42" s="54" t="s">
        <v>565</v>
      </c>
      <c r="B42" s="54"/>
      <c r="C42" s="54"/>
      <c r="D42" s="54"/>
      <c r="E42" s="54"/>
      <c r="F42" s="54"/>
      <c r="G42" s="54"/>
      <c r="H42" s="55" t="n">
        <f aca="false">H41*0.05</f>
        <v>140560</v>
      </c>
      <c r="I42" s="55"/>
      <c r="J42" s="56" t="n">
        <v>1</v>
      </c>
      <c r="K42" s="55" t="n">
        <f aca="false">H42*J42</f>
        <v>140560</v>
      </c>
      <c r="L42" s="55"/>
      <c r="M42" s="57" t="n">
        <f aca="false">K42/H43</f>
        <v>0.0476190476190476</v>
      </c>
      <c r="N42" s="56" t="s">
        <v>566</v>
      </c>
    </row>
    <row r="43" customFormat="false" ht="25.5" hidden="false" customHeight="true" outlineLevel="0" collapsed="false">
      <c r="A43" s="58" t="s">
        <v>567</v>
      </c>
      <c r="B43" s="58"/>
      <c r="C43" s="58"/>
      <c r="D43" s="58"/>
      <c r="E43" s="58"/>
      <c r="F43" s="58"/>
      <c r="G43" s="58"/>
      <c r="H43" s="59" t="n">
        <f aca="false">H41+K42</f>
        <v>2951760</v>
      </c>
      <c r="I43" s="59"/>
      <c r="J43" s="59"/>
      <c r="K43" s="59"/>
      <c r="L43" s="59"/>
      <c r="M43" s="60"/>
      <c r="N43" s="60"/>
    </row>
    <row r="44" customFormat="false" ht="21.75" hidden="false" customHeight="true" outlineLevel="0" collapsed="false">
      <c r="A44" s="61" t="s">
        <v>568</v>
      </c>
      <c r="B44" s="61"/>
      <c r="C44" s="61"/>
      <c r="D44" s="61"/>
      <c r="E44" s="61"/>
      <c r="F44" s="61"/>
      <c r="G44" s="61"/>
      <c r="H44" s="62" t="n">
        <f aca="false">H43/(E6*E7)</f>
        <v>24598</v>
      </c>
      <c r="I44" s="62"/>
      <c r="J44" s="62"/>
      <c r="K44" s="62"/>
      <c r="L44" s="62"/>
      <c r="M44" s="28"/>
      <c r="N44" s="28"/>
    </row>
    <row r="46" customFormat="false" ht="21.75" hidden="false" customHeight="true" outlineLevel="0" collapsed="false">
      <c r="A46" s="8" t="s">
        <v>569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customFormat="false" ht="15" hidden="false" customHeight="true" outlineLevel="0" collapsed="false">
      <c r="A47" s="23" t="s">
        <v>517</v>
      </c>
      <c r="B47" s="23"/>
      <c r="C47" s="23"/>
      <c r="D47" s="23"/>
      <c r="E47" s="23" t="s">
        <v>570</v>
      </c>
      <c r="F47" s="23"/>
      <c r="G47" s="23"/>
      <c r="H47" s="23" t="s">
        <v>571</v>
      </c>
      <c r="I47" s="23"/>
      <c r="J47" s="23"/>
      <c r="K47" s="23" t="s">
        <v>572</v>
      </c>
      <c r="L47" s="23"/>
      <c r="M47" s="23"/>
      <c r="N47" s="23"/>
    </row>
    <row r="48" customFormat="false" ht="19.5" hidden="false" customHeight="true" outlineLevel="0" collapsed="false">
      <c r="A48" s="63" t="s">
        <v>523</v>
      </c>
      <c r="B48" s="63"/>
      <c r="C48" s="63"/>
      <c r="D48" s="63"/>
      <c r="E48" s="42" t="n">
        <f aca="false">K24+K25+K26+K27</f>
        <v>1116000</v>
      </c>
      <c r="F48" s="42"/>
      <c r="G48" s="42"/>
      <c r="H48" s="64" t="n">
        <f aca="false">E48/H43</f>
        <v>0.378079518660054</v>
      </c>
      <c r="I48" s="64"/>
      <c r="J48" s="64"/>
      <c r="K48" s="65" t="s">
        <v>573</v>
      </c>
      <c r="L48" s="65"/>
      <c r="M48" s="65"/>
      <c r="N48" s="65"/>
    </row>
    <row r="49" customFormat="false" ht="19.5" hidden="false" customHeight="true" outlineLevel="0" collapsed="false">
      <c r="A49" s="66" t="s">
        <v>532</v>
      </c>
      <c r="B49" s="66"/>
      <c r="C49" s="66"/>
      <c r="D49" s="66"/>
      <c r="E49" s="47" t="n">
        <f aca="false">K28+K29+K30</f>
        <v>576000</v>
      </c>
      <c r="F49" s="47"/>
      <c r="G49" s="47"/>
      <c r="H49" s="67" t="n">
        <f aca="false">E49/H43</f>
        <v>0.195137816082608</v>
      </c>
      <c r="I49" s="67"/>
      <c r="J49" s="67"/>
      <c r="K49" s="68" t="s">
        <v>574</v>
      </c>
      <c r="L49" s="68"/>
      <c r="M49" s="68"/>
      <c r="N49" s="68"/>
    </row>
    <row r="50" customFormat="false" ht="19.5" hidden="false" customHeight="true" outlineLevel="0" collapsed="false">
      <c r="A50" s="63" t="s">
        <v>539</v>
      </c>
      <c r="B50" s="63"/>
      <c r="C50" s="63"/>
      <c r="D50" s="63"/>
      <c r="E50" s="42" t="n">
        <f aca="false">K31+K32</f>
        <v>84000</v>
      </c>
      <c r="F50" s="42"/>
      <c r="G50" s="42"/>
      <c r="H50" s="64" t="n">
        <f aca="false">E50/H43</f>
        <v>0.0284575981787137</v>
      </c>
      <c r="I50" s="64"/>
      <c r="J50" s="64"/>
      <c r="K50" s="65" t="s">
        <v>575</v>
      </c>
      <c r="L50" s="65"/>
      <c r="M50" s="65"/>
      <c r="N50" s="65"/>
    </row>
    <row r="51" customFormat="false" ht="19.5" hidden="false" customHeight="true" outlineLevel="0" collapsed="false">
      <c r="A51" s="66" t="s">
        <v>544</v>
      </c>
      <c r="B51" s="66"/>
      <c r="C51" s="66"/>
      <c r="D51" s="66"/>
      <c r="E51" s="47" t="n">
        <f aca="false">K33+K34</f>
        <v>600000</v>
      </c>
      <c r="F51" s="47"/>
      <c r="G51" s="47"/>
      <c r="H51" s="67" t="n">
        <f aca="false">E51/H43</f>
        <v>0.203268558419384</v>
      </c>
      <c r="I51" s="67"/>
      <c r="J51" s="67"/>
      <c r="K51" s="68" t="s">
        <v>576</v>
      </c>
      <c r="L51" s="68"/>
      <c r="M51" s="68"/>
      <c r="N51" s="68"/>
    </row>
    <row r="52" customFormat="false" ht="19.5" hidden="false" customHeight="true" outlineLevel="0" collapsed="false">
      <c r="A52" s="63" t="s">
        <v>549</v>
      </c>
      <c r="B52" s="63"/>
      <c r="C52" s="63"/>
      <c r="D52" s="63"/>
      <c r="E52" s="42" t="n">
        <f aca="false">K35+K36</f>
        <v>260000</v>
      </c>
      <c r="F52" s="42"/>
      <c r="G52" s="42"/>
      <c r="H52" s="64" t="n">
        <f aca="false">E52/H43</f>
        <v>0.0880830419817329</v>
      </c>
      <c r="I52" s="64"/>
      <c r="J52" s="64"/>
      <c r="K52" s="65" t="s">
        <v>577</v>
      </c>
      <c r="L52" s="65"/>
      <c r="M52" s="65"/>
      <c r="N52" s="65"/>
    </row>
    <row r="53" customFormat="false" ht="19.5" hidden="false" customHeight="true" outlineLevel="0" collapsed="false">
      <c r="A53" s="66" t="s">
        <v>554</v>
      </c>
      <c r="B53" s="66"/>
      <c r="C53" s="66"/>
      <c r="D53" s="66"/>
      <c r="E53" s="47" t="n">
        <f aca="false">K37+K38</f>
        <v>105200</v>
      </c>
      <c r="F53" s="47"/>
      <c r="G53" s="47"/>
      <c r="H53" s="67" t="n">
        <f aca="false">E53/H43</f>
        <v>0.0356397539095319</v>
      </c>
      <c r="I53" s="67"/>
      <c r="J53" s="67"/>
      <c r="K53" s="68" t="s">
        <v>578</v>
      </c>
      <c r="L53" s="68"/>
      <c r="M53" s="68"/>
      <c r="N53" s="68"/>
    </row>
    <row r="54" customFormat="false" ht="19.5" hidden="false" customHeight="true" outlineLevel="0" collapsed="false">
      <c r="A54" s="63" t="s">
        <v>559</v>
      </c>
      <c r="B54" s="63"/>
      <c r="C54" s="63"/>
      <c r="D54" s="63"/>
      <c r="E54" s="42" t="n">
        <f aca="false">K39+K40</f>
        <v>70000</v>
      </c>
      <c r="F54" s="42"/>
      <c r="G54" s="42"/>
      <c r="H54" s="64" t="n">
        <f aca="false">E54/H43</f>
        <v>0.0237146651489281</v>
      </c>
      <c r="I54" s="64"/>
      <c r="J54" s="64"/>
      <c r="K54" s="65" t="s">
        <v>579</v>
      </c>
      <c r="L54" s="65"/>
      <c r="M54" s="65"/>
      <c r="N54" s="65"/>
    </row>
    <row r="57" customFormat="false" ht="21.75" hidden="false" customHeight="true" outlineLevel="0" collapsed="false">
      <c r="A57" s="8" t="s">
        <v>580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customFormat="false" ht="15" hidden="false" customHeight="true" outlineLevel="0" collapsed="false">
      <c r="A58" s="23" t="s">
        <v>9</v>
      </c>
      <c r="B58" s="23"/>
      <c r="C58" s="23"/>
      <c r="D58" s="23"/>
      <c r="E58" s="23" t="s">
        <v>581</v>
      </c>
      <c r="F58" s="23"/>
      <c r="G58" s="23" t="s">
        <v>582</v>
      </c>
      <c r="H58" s="23"/>
      <c r="I58" s="23" t="s">
        <v>583</v>
      </c>
      <c r="J58" s="23"/>
      <c r="K58" s="23" t="s">
        <v>584</v>
      </c>
      <c r="L58" s="23"/>
      <c r="M58" s="23"/>
      <c r="N58" s="23"/>
    </row>
    <row r="59" customFormat="false" ht="19.5" hidden="false" customHeight="true" outlineLevel="0" collapsed="false">
      <c r="A59" s="69" t="s">
        <v>585</v>
      </c>
      <c r="B59" s="69"/>
      <c r="C59" s="69"/>
      <c r="D59" s="69"/>
      <c r="E59" s="70" t="n">
        <v>4</v>
      </c>
      <c r="F59" s="70"/>
      <c r="G59" s="31" t="n">
        <v>6</v>
      </c>
      <c r="H59" s="31"/>
      <c r="I59" s="31" t="n">
        <v>8</v>
      </c>
      <c r="J59" s="31"/>
      <c r="K59" s="12" t="s">
        <v>586</v>
      </c>
      <c r="L59" s="12"/>
      <c r="M59" s="12"/>
      <c r="N59" s="12"/>
    </row>
    <row r="60" customFormat="false" ht="19.5" hidden="false" customHeight="true" outlineLevel="0" collapsed="false">
      <c r="A60" s="71" t="s">
        <v>587</v>
      </c>
      <c r="B60" s="71"/>
      <c r="C60" s="71"/>
      <c r="D60" s="71"/>
      <c r="E60" s="70" t="n">
        <v>120</v>
      </c>
      <c r="F60" s="70"/>
      <c r="G60" s="32" t="n">
        <v>180</v>
      </c>
      <c r="H60" s="32"/>
      <c r="I60" s="32" t="n">
        <v>240</v>
      </c>
      <c r="J60" s="32"/>
      <c r="K60" s="13" t="s">
        <v>588</v>
      </c>
      <c r="L60" s="13"/>
      <c r="M60" s="13"/>
      <c r="N60" s="13"/>
    </row>
    <row r="61" customFormat="false" ht="19.5" hidden="false" customHeight="true" outlineLevel="0" collapsed="false">
      <c r="A61" s="69" t="s">
        <v>589</v>
      </c>
      <c r="B61" s="69"/>
      <c r="C61" s="69"/>
      <c r="D61" s="69"/>
      <c r="E61" s="70" t="n">
        <v>5</v>
      </c>
      <c r="F61" s="70"/>
      <c r="G61" s="31" t="n">
        <v>8</v>
      </c>
      <c r="H61" s="31"/>
      <c r="I61" s="31" t="n">
        <v>12</v>
      </c>
      <c r="J61" s="31"/>
      <c r="K61" s="12" t="s">
        <v>590</v>
      </c>
      <c r="L61" s="12"/>
      <c r="M61" s="12"/>
      <c r="N61" s="12"/>
    </row>
    <row r="62" customFormat="false" ht="19.5" hidden="false" customHeight="true" outlineLevel="0" collapsed="false">
      <c r="A62" s="71" t="s">
        <v>496</v>
      </c>
      <c r="B62" s="71"/>
      <c r="C62" s="71"/>
      <c r="D62" s="71"/>
      <c r="E62" s="70" t="s">
        <v>591</v>
      </c>
      <c r="F62" s="70"/>
      <c r="G62" s="32" t="s">
        <v>592</v>
      </c>
      <c r="H62" s="32"/>
      <c r="I62" s="32" t="s">
        <v>593</v>
      </c>
      <c r="J62" s="32"/>
      <c r="K62" s="13" t="s">
        <v>594</v>
      </c>
      <c r="L62" s="13"/>
      <c r="M62" s="13"/>
      <c r="N62" s="13"/>
    </row>
    <row r="63" customFormat="false" ht="19.5" hidden="false" customHeight="true" outlineLevel="0" collapsed="false">
      <c r="A63" s="69" t="s">
        <v>595</v>
      </c>
      <c r="B63" s="69"/>
      <c r="C63" s="69"/>
      <c r="D63" s="69"/>
      <c r="E63" s="70" t="s">
        <v>596</v>
      </c>
      <c r="F63" s="70"/>
      <c r="G63" s="31" t="s">
        <v>597</v>
      </c>
      <c r="H63" s="31"/>
      <c r="I63" s="31" t="s">
        <v>598</v>
      </c>
      <c r="J63" s="31"/>
      <c r="K63" s="12" t="s">
        <v>599</v>
      </c>
      <c r="L63" s="12"/>
      <c r="M63" s="12"/>
      <c r="N63" s="12"/>
    </row>
    <row r="64" customFormat="false" ht="19.5" hidden="false" customHeight="true" outlineLevel="0" collapsed="false">
      <c r="A64" s="71" t="s">
        <v>600</v>
      </c>
      <c r="B64" s="71"/>
      <c r="C64" s="71"/>
      <c r="D64" s="71"/>
      <c r="E64" s="70" t="s">
        <v>601</v>
      </c>
      <c r="F64" s="70"/>
      <c r="G64" s="32" t="s">
        <v>602</v>
      </c>
      <c r="H64" s="32"/>
      <c r="I64" s="32" t="s">
        <v>603</v>
      </c>
      <c r="J64" s="32"/>
      <c r="K64" s="13" t="s">
        <v>604</v>
      </c>
      <c r="L64" s="13"/>
      <c r="M64" s="13"/>
      <c r="N64" s="13"/>
    </row>
  </sheetData>
  <mergeCells count="202">
    <mergeCell ref="A1:N1"/>
    <mergeCell ref="A2:N2"/>
    <mergeCell ref="A4:N4"/>
    <mergeCell ref="A5:D5"/>
    <mergeCell ref="E5:F5"/>
    <mergeCell ref="G5:N5"/>
    <mergeCell ref="A6:D6"/>
    <mergeCell ref="E6:F6"/>
    <mergeCell ref="G6:N6"/>
    <mergeCell ref="A7:D7"/>
    <mergeCell ref="E7:F7"/>
    <mergeCell ref="G7:N7"/>
    <mergeCell ref="A8:D8"/>
    <mergeCell ref="E8:F8"/>
    <mergeCell ref="G8:N8"/>
    <mergeCell ref="A9:D9"/>
    <mergeCell ref="E9:F9"/>
    <mergeCell ref="G9:N9"/>
    <mergeCell ref="A10:D10"/>
    <mergeCell ref="E10:F10"/>
    <mergeCell ref="G10:N10"/>
    <mergeCell ref="A11:D11"/>
    <mergeCell ref="E11:F11"/>
    <mergeCell ref="G11:N11"/>
    <mergeCell ref="A12:D12"/>
    <mergeCell ref="E12:F12"/>
    <mergeCell ref="G12:N12"/>
    <mergeCell ref="A13:D13"/>
    <mergeCell ref="E13:F13"/>
    <mergeCell ref="G13:N13"/>
    <mergeCell ref="A14:D14"/>
    <mergeCell ref="E14:F14"/>
    <mergeCell ref="G14:N14"/>
    <mergeCell ref="A15:D15"/>
    <mergeCell ref="E15:F15"/>
    <mergeCell ref="G15:N15"/>
    <mergeCell ref="A16:D16"/>
    <mergeCell ref="E16:F16"/>
    <mergeCell ref="G16:N16"/>
    <mergeCell ref="A17:D17"/>
    <mergeCell ref="E17:F17"/>
    <mergeCell ref="G17:N17"/>
    <mergeCell ref="A18:D18"/>
    <mergeCell ref="E18:F18"/>
    <mergeCell ref="G18:N18"/>
    <mergeCell ref="A19:D19"/>
    <mergeCell ref="E19:F19"/>
    <mergeCell ref="G19:N19"/>
    <mergeCell ref="A20:D20"/>
    <mergeCell ref="E20:F20"/>
    <mergeCell ref="G20:N20"/>
    <mergeCell ref="A22:N22"/>
    <mergeCell ref="A23:C23"/>
    <mergeCell ref="D23:G23"/>
    <mergeCell ref="H23:I23"/>
    <mergeCell ref="K23:L23"/>
    <mergeCell ref="A24:C24"/>
    <mergeCell ref="D24:G24"/>
    <mergeCell ref="H24:I24"/>
    <mergeCell ref="K24:L24"/>
    <mergeCell ref="A25:C25"/>
    <mergeCell ref="D25:G25"/>
    <mergeCell ref="H25:I25"/>
    <mergeCell ref="K25:L25"/>
    <mergeCell ref="A26:C26"/>
    <mergeCell ref="D26:G26"/>
    <mergeCell ref="H26:I26"/>
    <mergeCell ref="K26:L26"/>
    <mergeCell ref="A27:C27"/>
    <mergeCell ref="D27:G27"/>
    <mergeCell ref="H27:I27"/>
    <mergeCell ref="K27:L27"/>
    <mergeCell ref="A28:C28"/>
    <mergeCell ref="D28:G28"/>
    <mergeCell ref="H28:I28"/>
    <mergeCell ref="K28:L28"/>
    <mergeCell ref="A29:C29"/>
    <mergeCell ref="D29:G29"/>
    <mergeCell ref="H29:I29"/>
    <mergeCell ref="K29:L29"/>
    <mergeCell ref="A30:C30"/>
    <mergeCell ref="D30:G30"/>
    <mergeCell ref="H30:I30"/>
    <mergeCell ref="K30:L30"/>
    <mergeCell ref="A31:C31"/>
    <mergeCell ref="D31:G31"/>
    <mergeCell ref="H31:I31"/>
    <mergeCell ref="K31:L31"/>
    <mergeCell ref="A32:C32"/>
    <mergeCell ref="D32:G32"/>
    <mergeCell ref="H32:I32"/>
    <mergeCell ref="K32:L32"/>
    <mergeCell ref="A33:C33"/>
    <mergeCell ref="D33:G33"/>
    <mergeCell ref="H33:I33"/>
    <mergeCell ref="K33:L33"/>
    <mergeCell ref="A34:C34"/>
    <mergeCell ref="D34:G34"/>
    <mergeCell ref="H34:I34"/>
    <mergeCell ref="K34:L34"/>
    <mergeCell ref="A35:C35"/>
    <mergeCell ref="D35:G35"/>
    <mergeCell ref="H35:I35"/>
    <mergeCell ref="K35:L35"/>
    <mergeCell ref="A36:C36"/>
    <mergeCell ref="D36:G36"/>
    <mergeCell ref="H36:I36"/>
    <mergeCell ref="K36:L36"/>
    <mergeCell ref="A37:C37"/>
    <mergeCell ref="D37:G37"/>
    <mergeCell ref="H37:I37"/>
    <mergeCell ref="K37:L37"/>
    <mergeCell ref="A38:C38"/>
    <mergeCell ref="D38:G38"/>
    <mergeCell ref="H38:I38"/>
    <mergeCell ref="K38:L38"/>
    <mergeCell ref="A39:C39"/>
    <mergeCell ref="D39:G39"/>
    <mergeCell ref="H39:I39"/>
    <mergeCell ref="K39:L39"/>
    <mergeCell ref="A40:C40"/>
    <mergeCell ref="D40:G40"/>
    <mergeCell ref="H40:I40"/>
    <mergeCell ref="K40:L40"/>
    <mergeCell ref="A41:G41"/>
    <mergeCell ref="H41:L41"/>
    <mergeCell ref="A42:G42"/>
    <mergeCell ref="H42:I42"/>
    <mergeCell ref="K42:L42"/>
    <mergeCell ref="A43:G43"/>
    <mergeCell ref="H43:L43"/>
    <mergeCell ref="A44:G44"/>
    <mergeCell ref="H44:L44"/>
    <mergeCell ref="A46:N46"/>
    <mergeCell ref="A47:D47"/>
    <mergeCell ref="E47:G47"/>
    <mergeCell ref="H47:J47"/>
    <mergeCell ref="K47:N47"/>
    <mergeCell ref="A48:D48"/>
    <mergeCell ref="E48:G48"/>
    <mergeCell ref="H48:J48"/>
    <mergeCell ref="K48:N48"/>
    <mergeCell ref="A49:D49"/>
    <mergeCell ref="E49:G49"/>
    <mergeCell ref="H49:J49"/>
    <mergeCell ref="K49:N49"/>
    <mergeCell ref="A50:D50"/>
    <mergeCell ref="E50:G50"/>
    <mergeCell ref="H50:J50"/>
    <mergeCell ref="K50:N50"/>
    <mergeCell ref="A51:D51"/>
    <mergeCell ref="E51:G51"/>
    <mergeCell ref="H51:J51"/>
    <mergeCell ref="K51:N51"/>
    <mergeCell ref="A52:D52"/>
    <mergeCell ref="E52:G52"/>
    <mergeCell ref="H52:J52"/>
    <mergeCell ref="K52:N52"/>
    <mergeCell ref="A53:D53"/>
    <mergeCell ref="E53:G53"/>
    <mergeCell ref="H53:J53"/>
    <mergeCell ref="K53:N53"/>
    <mergeCell ref="A54:D54"/>
    <mergeCell ref="E54:G54"/>
    <mergeCell ref="H54:J54"/>
    <mergeCell ref="K54:N54"/>
    <mergeCell ref="A57:N57"/>
    <mergeCell ref="A58:D58"/>
    <mergeCell ref="E58:F58"/>
    <mergeCell ref="G58:H58"/>
    <mergeCell ref="I58:J58"/>
    <mergeCell ref="K58:N58"/>
    <mergeCell ref="A59:D59"/>
    <mergeCell ref="E59:F59"/>
    <mergeCell ref="G59:H59"/>
    <mergeCell ref="I59:J59"/>
    <mergeCell ref="K59:N59"/>
    <mergeCell ref="A60:D60"/>
    <mergeCell ref="E60:F60"/>
    <mergeCell ref="G60:H60"/>
    <mergeCell ref="I60:J60"/>
    <mergeCell ref="K60:N60"/>
    <mergeCell ref="A61:D61"/>
    <mergeCell ref="E61:F61"/>
    <mergeCell ref="G61:H61"/>
    <mergeCell ref="I61:J61"/>
    <mergeCell ref="K61:N61"/>
    <mergeCell ref="A62:D62"/>
    <mergeCell ref="E62:F62"/>
    <mergeCell ref="G62:H62"/>
    <mergeCell ref="I62:J62"/>
    <mergeCell ref="K62:N62"/>
    <mergeCell ref="A63:D63"/>
    <mergeCell ref="E63:F63"/>
    <mergeCell ref="G63:H63"/>
    <mergeCell ref="I63:J63"/>
    <mergeCell ref="K63:N63"/>
    <mergeCell ref="A64:D64"/>
    <mergeCell ref="E64:F64"/>
    <mergeCell ref="G64:H64"/>
    <mergeCell ref="I64:J64"/>
    <mergeCell ref="K64:N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8" min="5" style="1" width="14"/>
    <col collapsed="false" customWidth="true" hidden="false" outlineLevel="0" max="9" min="9" style="1" width="18"/>
    <col collapsed="false" customWidth="true" hidden="false" outlineLevel="0" max="11" min="10" style="1" width="12"/>
  </cols>
  <sheetData>
    <row r="1" customFormat="false" ht="31.5" hidden="false" customHeight="true" outlineLevel="0" collapsed="false">
      <c r="A1" s="15" t="s">
        <v>605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customFormat="false" ht="21.75" hidden="false" customHeight="true" outlineLevel="0" collapsed="false">
      <c r="A3" s="8" t="s">
        <v>606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15" hidden="false" customHeight="true" outlineLevel="0" collapsed="false">
      <c r="A4" s="23" t="s">
        <v>110</v>
      </c>
      <c r="B4" s="23"/>
      <c r="C4" s="23"/>
      <c r="D4" s="23" t="s">
        <v>484</v>
      </c>
      <c r="E4" s="23"/>
      <c r="F4" s="23" t="s">
        <v>607</v>
      </c>
      <c r="G4" s="23"/>
      <c r="H4" s="23"/>
      <c r="I4" s="23"/>
      <c r="J4" s="23"/>
      <c r="K4" s="23"/>
    </row>
    <row r="5" customFormat="false" ht="19.5" hidden="false" customHeight="true" outlineLevel="0" collapsed="false">
      <c r="A5" s="11" t="s">
        <v>608</v>
      </c>
      <c r="B5" s="11"/>
      <c r="C5" s="11"/>
      <c r="D5" s="72" t="s">
        <v>609</v>
      </c>
      <c r="E5" s="72"/>
      <c r="F5" s="12" t="s">
        <v>610</v>
      </c>
      <c r="G5" s="12"/>
      <c r="H5" s="12"/>
      <c r="I5" s="12"/>
      <c r="J5" s="12"/>
      <c r="K5" s="12"/>
    </row>
    <row r="6" customFormat="false" ht="19.5" hidden="false" customHeight="true" outlineLevel="0" collapsed="false">
      <c r="A6" s="11" t="s">
        <v>611</v>
      </c>
      <c r="B6" s="11"/>
      <c r="C6" s="11"/>
      <c r="D6" s="73" t="s">
        <v>2</v>
      </c>
      <c r="E6" s="73"/>
      <c r="F6" s="13" t="s">
        <v>612</v>
      </c>
      <c r="G6" s="13"/>
      <c r="H6" s="13"/>
      <c r="I6" s="13"/>
      <c r="J6" s="13"/>
      <c r="K6" s="13"/>
    </row>
    <row r="7" customFormat="false" ht="19.5" hidden="false" customHeight="true" outlineLevel="0" collapsed="false">
      <c r="A7" s="11" t="s">
        <v>613</v>
      </c>
      <c r="B7" s="11"/>
      <c r="C7" s="11"/>
      <c r="D7" s="72" t="s">
        <v>614</v>
      </c>
      <c r="E7" s="72"/>
      <c r="F7" s="12" t="s">
        <v>615</v>
      </c>
      <c r="G7" s="12"/>
      <c r="H7" s="12"/>
      <c r="I7" s="12"/>
      <c r="J7" s="12"/>
      <c r="K7" s="12"/>
    </row>
    <row r="8" customFormat="false" ht="19.5" hidden="false" customHeight="true" outlineLevel="0" collapsed="false">
      <c r="A8" s="11" t="s">
        <v>616</v>
      </c>
      <c r="B8" s="11"/>
      <c r="C8" s="11"/>
      <c r="D8" s="73" t="s">
        <v>617</v>
      </c>
      <c r="E8" s="73"/>
      <c r="F8" s="13" t="s">
        <v>618</v>
      </c>
      <c r="G8" s="13"/>
      <c r="H8" s="13"/>
      <c r="I8" s="13"/>
      <c r="J8" s="13"/>
      <c r="K8" s="13"/>
    </row>
    <row r="9" customFormat="false" ht="19.5" hidden="false" customHeight="true" outlineLevel="0" collapsed="false">
      <c r="A9" s="11" t="s">
        <v>619</v>
      </c>
      <c r="B9" s="11"/>
      <c r="C9" s="11"/>
      <c r="D9" s="72" t="s">
        <v>620</v>
      </c>
      <c r="E9" s="72"/>
      <c r="F9" s="12" t="s">
        <v>621</v>
      </c>
      <c r="G9" s="12"/>
      <c r="H9" s="12"/>
      <c r="I9" s="12"/>
      <c r="J9" s="12"/>
      <c r="K9" s="12"/>
    </row>
    <row r="10" customFormat="false" ht="19.5" hidden="false" customHeight="true" outlineLevel="0" collapsed="false">
      <c r="A10" s="11" t="s">
        <v>622</v>
      </c>
      <c r="B10" s="11"/>
      <c r="C10" s="11"/>
      <c r="D10" s="73" t="s">
        <v>56</v>
      </c>
      <c r="E10" s="73"/>
      <c r="F10" s="13" t="s">
        <v>623</v>
      </c>
      <c r="G10" s="13"/>
      <c r="H10" s="13"/>
      <c r="I10" s="13"/>
      <c r="J10" s="13"/>
      <c r="K10" s="13"/>
    </row>
    <row r="11" customFormat="false" ht="19.5" hidden="false" customHeight="true" outlineLevel="0" collapsed="false">
      <c r="A11" s="11" t="s">
        <v>624</v>
      </c>
      <c r="B11" s="11"/>
      <c r="C11" s="11"/>
      <c r="D11" s="72" t="s">
        <v>625</v>
      </c>
      <c r="E11" s="72"/>
      <c r="F11" s="12" t="s">
        <v>626</v>
      </c>
      <c r="G11" s="12"/>
      <c r="H11" s="12"/>
      <c r="I11" s="12"/>
      <c r="J11" s="12"/>
      <c r="K11" s="12"/>
    </row>
    <row r="12" customFormat="false" ht="19.5" hidden="false" customHeight="true" outlineLevel="0" collapsed="false">
      <c r="A12" s="11" t="s">
        <v>627</v>
      </c>
      <c r="B12" s="11"/>
      <c r="C12" s="11"/>
      <c r="D12" s="73" t="s">
        <v>628</v>
      </c>
      <c r="E12" s="73"/>
      <c r="F12" s="13" t="s">
        <v>629</v>
      </c>
      <c r="G12" s="13"/>
      <c r="H12" s="13"/>
      <c r="I12" s="13"/>
      <c r="J12" s="13"/>
      <c r="K12" s="13"/>
    </row>
    <row r="13" customFormat="false" ht="19.5" hidden="false" customHeight="true" outlineLevel="0" collapsed="false">
      <c r="A13" s="11" t="s">
        <v>630</v>
      </c>
      <c r="B13" s="11"/>
      <c r="C13" s="11"/>
      <c r="D13" s="72" t="s">
        <v>631</v>
      </c>
      <c r="E13" s="72"/>
      <c r="F13" s="12" t="s">
        <v>632</v>
      </c>
      <c r="G13" s="12"/>
      <c r="H13" s="12"/>
      <c r="I13" s="12"/>
      <c r="J13" s="12"/>
      <c r="K13" s="12"/>
    </row>
    <row r="14" customFormat="false" ht="19.5" hidden="false" customHeight="true" outlineLevel="0" collapsed="false">
      <c r="A14" s="11" t="s">
        <v>633</v>
      </c>
      <c r="B14" s="11"/>
      <c r="C14" s="11"/>
      <c r="D14" s="73" t="s">
        <v>634</v>
      </c>
      <c r="E14" s="73"/>
      <c r="F14" s="13" t="s">
        <v>635</v>
      </c>
      <c r="G14" s="13"/>
      <c r="H14" s="13"/>
      <c r="I14" s="13"/>
      <c r="J14" s="13"/>
      <c r="K14" s="13"/>
    </row>
    <row r="15" customFormat="false" ht="19.5" hidden="false" customHeight="true" outlineLevel="0" collapsed="false">
      <c r="A15" s="11" t="s">
        <v>636</v>
      </c>
      <c r="B15" s="11"/>
      <c r="C15" s="11"/>
      <c r="D15" s="72" t="s">
        <v>637</v>
      </c>
      <c r="E15" s="72"/>
      <c r="F15" s="12" t="s">
        <v>638</v>
      </c>
      <c r="G15" s="12"/>
      <c r="H15" s="12"/>
      <c r="I15" s="12"/>
      <c r="J15" s="12"/>
      <c r="K15" s="12"/>
    </row>
    <row r="16" customFormat="false" ht="19.5" hidden="false" customHeight="true" outlineLevel="0" collapsed="false">
      <c r="A16" s="11" t="s">
        <v>639</v>
      </c>
      <c r="B16" s="11"/>
      <c r="C16" s="11"/>
      <c r="D16" s="73" t="s">
        <v>274</v>
      </c>
      <c r="E16" s="73"/>
      <c r="F16" s="13" t="s">
        <v>640</v>
      </c>
      <c r="G16" s="13"/>
      <c r="H16" s="13"/>
      <c r="I16" s="13"/>
      <c r="J16" s="13"/>
      <c r="K16" s="13"/>
    </row>
    <row r="18" customFormat="false" ht="21.75" hidden="false" customHeight="true" outlineLevel="0" collapsed="false">
      <c r="A18" s="8" t="s">
        <v>641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true" outlineLevel="0" collapsed="false">
      <c r="A19" s="23" t="s">
        <v>642</v>
      </c>
      <c r="B19" s="23"/>
      <c r="C19" s="23"/>
      <c r="D19" s="16" t="s">
        <v>643</v>
      </c>
      <c r="E19" s="23" t="s">
        <v>644</v>
      </c>
      <c r="F19" s="23"/>
      <c r="G19" s="23"/>
      <c r="H19" s="23" t="s">
        <v>645</v>
      </c>
      <c r="I19" s="23"/>
      <c r="J19" s="23"/>
      <c r="K19" s="23"/>
    </row>
    <row r="20" customFormat="false" ht="19.5" hidden="false" customHeight="true" outlineLevel="0" collapsed="false">
      <c r="A20" s="69" t="s">
        <v>646</v>
      </c>
      <c r="B20" s="69"/>
      <c r="C20" s="69"/>
      <c r="D20" s="31" t="s">
        <v>647</v>
      </c>
      <c r="E20" s="12" t="s">
        <v>648</v>
      </c>
      <c r="F20" s="12"/>
      <c r="G20" s="12"/>
      <c r="H20" s="12" t="s">
        <v>649</v>
      </c>
      <c r="I20" s="12"/>
      <c r="J20" s="12"/>
      <c r="K20" s="12"/>
    </row>
    <row r="21" customFormat="false" ht="19.5" hidden="false" customHeight="true" outlineLevel="0" collapsed="false">
      <c r="A21" s="71" t="s">
        <v>650</v>
      </c>
      <c r="B21" s="71"/>
      <c r="C21" s="71"/>
      <c r="D21" s="32" t="s">
        <v>651</v>
      </c>
      <c r="E21" s="13" t="s">
        <v>652</v>
      </c>
      <c r="F21" s="13"/>
      <c r="G21" s="13"/>
      <c r="H21" s="13" t="s">
        <v>653</v>
      </c>
      <c r="I21" s="13"/>
      <c r="J21" s="13"/>
      <c r="K21" s="13"/>
    </row>
    <row r="22" customFormat="false" ht="19.5" hidden="false" customHeight="true" outlineLevel="0" collapsed="false">
      <c r="A22" s="69" t="s">
        <v>654</v>
      </c>
      <c r="B22" s="69"/>
      <c r="C22" s="69"/>
      <c r="D22" s="31" t="s">
        <v>655</v>
      </c>
      <c r="E22" s="12" t="s">
        <v>656</v>
      </c>
      <c r="F22" s="12"/>
      <c r="G22" s="12"/>
      <c r="H22" s="12" t="s">
        <v>657</v>
      </c>
      <c r="I22" s="12"/>
      <c r="J22" s="12"/>
      <c r="K22" s="12"/>
    </row>
    <row r="23" customFormat="false" ht="19.5" hidden="false" customHeight="true" outlineLevel="0" collapsed="false">
      <c r="A23" s="71" t="s">
        <v>658</v>
      </c>
      <c r="B23" s="71"/>
      <c r="C23" s="71"/>
      <c r="D23" s="32" t="s">
        <v>659</v>
      </c>
      <c r="E23" s="13" t="s">
        <v>660</v>
      </c>
      <c r="F23" s="13"/>
      <c r="G23" s="13"/>
      <c r="H23" s="13" t="s">
        <v>661</v>
      </c>
      <c r="I23" s="13"/>
      <c r="J23" s="13"/>
      <c r="K23" s="13"/>
    </row>
    <row r="24" customFormat="false" ht="19.5" hidden="false" customHeight="true" outlineLevel="0" collapsed="false">
      <c r="A24" s="69" t="s">
        <v>662</v>
      </c>
      <c r="B24" s="69"/>
      <c r="C24" s="69"/>
      <c r="D24" s="31" t="s">
        <v>659</v>
      </c>
      <c r="E24" s="12" t="s">
        <v>663</v>
      </c>
      <c r="F24" s="12"/>
      <c r="G24" s="12"/>
      <c r="H24" s="12" t="s">
        <v>664</v>
      </c>
      <c r="I24" s="12"/>
      <c r="J24" s="12"/>
      <c r="K24" s="12"/>
    </row>
    <row r="25" customFormat="false" ht="19.5" hidden="false" customHeight="true" outlineLevel="0" collapsed="false">
      <c r="A25" s="71" t="s">
        <v>665</v>
      </c>
      <c r="B25" s="71"/>
      <c r="C25" s="71"/>
      <c r="D25" s="32" t="s">
        <v>659</v>
      </c>
      <c r="E25" s="13" t="s">
        <v>666</v>
      </c>
      <c r="F25" s="13"/>
      <c r="G25" s="13"/>
      <c r="H25" s="13" t="s">
        <v>667</v>
      </c>
      <c r="I25" s="13"/>
      <c r="J25" s="13"/>
      <c r="K25" s="13"/>
    </row>
    <row r="26" customFormat="false" ht="19.5" hidden="false" customHeight="true" outlineLevel="0" collapsed="false">
      <c r="A26" s="69" t="s">
        <v>668</v>
      </c>
      <c r="B26" s="69"/>
      <c r="C26" s="69"/>
      <c r="D26" s="31" t="s">
        <v>669</v>
      </c>
      <c r="E26" s="12" t="s">
        <v>670</v>
      </c>
      <c r="F26" s="12"/>
      <c r="G26" s="12"/>
      <c r="H26" s="12" t="s">
        <v>671</v>
      </c>
      <c r="I26" s="12"/>
      <c r="J26" s="12"/>
      <c r="K26" s="12"/>
    </row>
    <row r="27" customFormat="false" ht="19.5" hidden="false" customHeight="true" outlineLevel="0" collapsed="false">
      <c r="A27" s="71" t="s">
        <v>672</v>
      </c>
      <c r="B27" s="71"/>
      <c r="C27" s="71"/>
      <c r="D27" s="32" t="s">
        <v>673</v>
      </c>
      <c r="E27" s="13" t="s">
        <v>674</v>
      </c>
      <c r="F27" s="13"/>
      <c r="G27" s="13"/>
      <c r="H27" s="13" t="s">
        <v>675</v>
      </c>
      <c r="I27" s="13"/>
      <c r="J27" s="13"/>
      <c r="K27" s="13"/>
    </row>
    <row r="28" customFormat="false" ht="19.5" hidden="false" customHeight="true" outlineLevel="0" collapsed="false">
      <c r="A28" s="69" t="s">
        <v>676</v>
      </c>
      <c r="B28" s="69"/>
      <c r="C28" s="69"/>
      <c r="D28" s="31" t="s">
        <v>673</v>
      </c>
      <c r="E28" s="12" t="s">
        <v>674</v>
      </c>
      <c r="F28" s="12"/>
      <c r="G28" s="12"/>
      <c r="H28" s="12" t="s">
        <v>677</v>
      </c>
      <c r="I28" s="12"/>
      <c r="J28" s="12"/>
      <c r="K28" s="12"/>
    </row>
    <row r="29" customFormat="false" ht="19.5" hidden="false" customHeight="true" outlineLevel="0" collapsed="false">
      <c r="A29" s="71" t="s">
        <v>678</v>
      </c>
      <c r="B29" s="71"/>
      <c r="C29" s="71"/>
      <c r="D29" s="32" t="s">
        <v>679</v>
      </c>
      <c r="E29" s="13" t="s">
        <v>680</v>
      </c>
      <c r="F29" s="13"/>
      <c r="G29" s="13"/>
      <c r="H29" s="13" t="s">
        <v>681</v>
      </c>
      <c r="I29" s="13"/>
      <c r="J29" s="13"/>
      <c r="K29" s="13"/>
    </row>
    <row r="30" customFormat="false" ht="19.5" hidden="false" customHeight="true" outlineLevel="0" collapsed="false">
      <c r="A30" s="69" t="s">
        <v>682</v>
      </c>
      <c r="B30" s="69"/>
      <c r="C30" s="69"/>
      <c r="D30" s="31" t="s">
        <v>659</v>
      </c>
      <c r="E30" s="12" t="s">
        <v>683</v>
      </c>
      <c r="F30" s="12"/>
      <c r="G30" s="12"/>
      <c r="H30" s="12" t="s">
        <v>684</v>
      </c>
      <c r="I30" s="12"/>
      <c r="J30" s="12"/>
      <c r="K30" s="12"/>
    </row>
    <row r="31" customFormat="false" ht="19.5" hidden="false" customHeight="true" outlineLevel="0" collapsed="false">
      <c r="A31" s="71" t="s">
        <v>685</v>
      </c>
      <c r="B31" s="71"/>
      <c r="C31" s="71"/>
      <c r="D31" s="32" t="s">
        <v>679</v>
      </c>
      <c r="E31" s="13" t="s">
        <v>680</v>
      </c>
      <c r="F31" s="13"/>
      <c r="G31" s="13"/>
      <c r="H31" s="13" t="s">
        <v>686</v>
      </c>
      <c r="I31" s="13"/>
      <c r="J31" s="13"/>
      <c r="K31" s="13"/>
    </row>
    <row r="32" customFormat="false" ht="19.5" hidden="false" customHeight="true" outlineLevel="0" collapsed="false">
      <c r="A32" s="69" t="s">
        <v>687</v>
      </c>
      <c r="B32" s="69"/>
      <c r="C32" s="69"/>
      <c r="D32" s="31" t="s">
        <v>688</v>
      </c>
      <c r="E32" s="12" t="s">
        <v>689</v>
      </c>
      <c r="F32" s="12"/>
      <c r="G32" s="12"/>
      <c r="H32" s="12" t="s">
        <v>690</v>
      </c>
      <c r="I32" s="12"/>
      <c r="J32" s="12"/>
      <c r="K32" s="12"/>
    </row>
    <row r="33" customFormat="false" ht="19.5" hidden="false" customHeight="true" outlineLevel="0" collapsed="false">
      <c r="A33" s="71" t="s">
        <v>691</v>
      </c>
      <c r="B33" s="71"/>
      <c r="C33" s="71"/>
      <c r="D33" s="32" t="s">
        <v>692</v>
      </c>
      <c r="E33" s="13" t="s">
        <v>693</v>
      </c>
      <c r="F33" s="13"/>
      <c r="G33" s="13"/>
      <c r="H33" s="13" t="s">
        <v>694</v>
      </c>
      <c r="I33" s="13"/>
      <c r="J33" s="13"/>
      <c r="K33" s="13"/>
    </row>
    <row r="34" customFormat="false" ht="19.5" hidden="false" customHeight="true" outlineLevel="0" collapsed="false">
      <c r="A34" s="69" t="s">
        <v>695</v>
      </c>
      <c r="B34" s="69"/>
      <c r="C34" s="69"/>
      <c r="D34" s="31" t="s">
        <v>679</v>
      </c>
      <c r="E34" s="12" t="s">
        <v>696</v>
      </c>
      <c r="F34" s="12"/>
      <c r="G34" s="12"/>
      <c r="H34" s="12" t="s">
        <v>697</v>
      </c>
      <c r="I34" s="12"/>
      <c r="J34" s="12"/>
      <c r="K34" s="12"/>
    </row>
    <row r="35" customFormat="false" ht="19.5" hidden="false" customHeight="true" outlineLevel="0" collapsed="false">
      <c r="A35" s="71" t="s">
        <v>698</v>
      </c>
      <c r="B35" s="71"/>
      <c r="C35" s="71"/>
      <c r="D35" s="32" t="s">
        <v>669</v>
      </c>
      <c r="E35" s="13" t="s">
        <v>699</v>
      </c>
      <c r="F35" s="13"/>
      <c r="G35" s="13"/>
      <c r="H35" s="13" t="s">
        <v>700</v>
      </c>
      <c r="I35" s="13"/>
      <c r="J35" s="13"/>
      <c r="K35" s="13"/>
    </row>
    <row r="36" customFormat="false" ht="19.5" hidden="false" customHeight="true" outlineLevel="0" collapsed="false">
      <c r="A36" s="69" t="s">
        <v>701</v>
      </c>
      <c r="B36" s="69"/>
      <c r="C36" s="69"/>
      <c r="D36" s="31" t="s">
        <v>688</v>
      </c>
      <c r="E36" s="12" t="s">
        <v>702</v>
      </c>
      <c r="F36" s="12"/>
      <c r="G36" s="12"/>
      <c r="H36" s="12" t="s">
        <v>703</v>
      </c>
      <c r="I36" s="12"/>
      <c r="J36" s="12"/>
      <c r="K36" s="12"/>
    </row>
    <row r="37" customFormat="false" ht="19.5" hidden="false" customHeight="true" outlineLevel="0" collapsed="false">
      <c r="A37" s="71" t="s">
        <v>704</v>
      </c>
      <c r="B37" s="71"/>
      <c r="C37" s="71"/>
      <c r="D37" s="32" t="s">
        <v>669</v>
      </c>
      <c r="E37" s="13" t="s">
        <v>705</v>
      </c>
      <c r="F37" s="13"/>
      <c r="G37" s="13"/>
      <c r="H37" s="13" t="s">
        <v>706</v>
      </c>
      <c r="I37" s="13"/>
      <c r="J37" s="13"/>
      <c r="K37" s="13"/>
    </row>
    <row r="38" customFormat="false" ht="19.5" hidden="false" customHeight="true" outlineLevel="0" collapsed="false">
      <c r="A38" s="69" t="s">
        <v>707</v>
      </c>
      <c r="B38" s="69"/>
      <c r="C38" s="69"/>
      <c r="D38" s="31" t="s">
        <v>669</v>
      </c>
      <c r="E38" s="12" t="s">
        <v>708</v>
      </c>
      <c r="F38" s="12"/>
      <c r="G38" s="12"/>
      <c r="H38" s="12" t="s">
        <v>709</v>
      </c>
      <c r="I38" s="12"/>
      <c r="J38" s="12"/>
      <c r="K38" s="12"/>
    </row>
    <row r="39" customFormat="false" ht="19.5" hidden="false" customHeight="true" outlineLevel="0" collapsed="false">
      <c r="A39" s="71" t="s">
        <v>710</v>
      </c>
      <c r="B39" s="71"/>
      <c r="C39" s="71"/>
      <c r="D39" s="32" t="s">
        <v>673</v>
      </c>
      <c r="E39" s="13" t="s">
        <v>711</v>
      </c>
      <c r="F39" s="13"/>
      <c r="G39" s="13"/>
      <c r="H39" s="13" t="s">
        <v>712</v>
      </c>
      <c r="I39" s="13"/>
      <c r="J39" s="13"/>
      <c r="K39" s="13"/>
    </row>
    <row r="40" customFormat="false" ht="19.5" hidden="false" customHeight="true" outlineLevel="0" collapsed="false">
      <c r="A40" s="69" t="s">
        <v>713</v>
      </c>
      <c r="B40" s="69"/>
      <c r="C40" s="69"/>
      <c r="D40" s="31" t="s">
        <v>714</v>
      </c>
      <c r="E40" s="12" t="s">
        <v>715</v>
      </c>
      <c r="F40" s="12"/>
      <c r="G40" s="12"/>
      <c r="H40" s="12" t="s">
        <v>716</v>
      </c>
      <c r="I40" s="12"/>
      <c r="J40" s="12"/>
      <c r="K40" s="12"/>
    </row>
    <row r="41" customFormat="false" ht="19.5" hidden="false" customHeight="true" outlineLevel="0" collapsed="false">
      <c r="A41" s="71" t="s">
        <v>717</v>
      </c>
      <c r="B41" s="71"/>
      <c r="C41" s="71"/>
      <c r="D41" s="32" t="s">
        <v>718</v>
      </c>
      <c r="E41" s="13" t="s">
        <v>719</v>
      </c>
      <c r="F41" s="13"/>
      <c r="G41" s="13"/>
      <c r="H41" s="13" t="s">
        <v>720</v>
      </c>
      <c r="I41" s="13"/>
      <c r="J41" s="13"/>
      <c r="K41" s="13"/>
    </row>
    <row r="43" customFormat="false" ht="21.75" hidden="false" customHeight="true" outlineLevel="0" collapsed="false">
      <c r="A43" s="8" t="s">
        <v>721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true" outlineLevel="0" collapsed="false">
      <c r="A44" s="23" t="s">
        <v>722</v>
      </c>
      <c r="B44" s="23"/>
      <c r="C44" s="23" t="s">
        <v>10</v>
      </c>
      <c r="D44" s="23"/>
      <c r="E44" s="23"/>
      <c r="F44" s="23"/>
      <c r="G44" s="23"/>
      <c r="H44" s="23"/>
      <c r="I44" s="23"/>
      <c r="J44" s="23"/>
      <c r="K44" s="23"/>
    </row>
    <row r="45" customFormat="false" ht="30" hidden="false" customHeight="true" outlineLevel="0" collapsed="false">
      <c r="A45" s="11" t="s">
        <v>723</v>
      </c>
      <c r="B45" s="11"/>
      <c r="C45" s="12" t="s">
        <v>724</v>
      </c>
      <c r="D45" s="12"/>
      <c r="E45" s="12"/>
      <c r="F45" s="12"/>
      <c r="G45" s="12"/>
      <c r="H45" s="12"/>
      <c r="I45" s="12"/>
      <c r="J45" s="12"/>
      <c r="K45" s="12"/>
    </row>
    <row r="46" customFormat="false" ht="30" hidden="false" customHeight="true" outlineLevel="0" collapsed="false">
      <c r="A46" s="11" t="s">
        <v>725</v>
      </c>
      <c r="B46" s="11"/>
      <c r="C46" s="13" t="s">
        <v>726</v>
      </c>
      <c r="D46" s="13"/>
      <c r="E46" s="13"/>
      <c r="F46" s="13"/>
      <c r="G46" s="13"/>
      <c r="H46" s="13"/>
      <c r="I46" s="13"/>
      <c r="J46" s="13"/>
      <c r="K46" s="13"/>
    </row>
    <row r="47" customFormat="false" ht="30" hidden="false" customHeight="true" outlineLevel="0" collapsed="false">
      <c r="A47" s="11" t="s">
        <v>727</v>
      </c>
      <c r="B47" s="11"/>
      <c r="C47" s="12" t="s">
        <v>728</v>
      </c>
      <c r="D47" s="12"/>
      <c r="E47" s="12"/>
      <c r="F47" s="12"/>
      <c r="G47" s="12"/>
      <c r="H47" s="12"/>
      <c r="I47" s="12"/>
      <c r="J47" s="12"/>
      <c r="K47" s="12"/>
    </row>
    <row r="48" customFormat="false" ht="30" hidden="false" customHeight="true" outlineLevel="0" collapsed="false">
      <c r="A48" s="11" t="s">
        <v>729</v>
      </c>
      <c r="B48" s="11"/>
      <c r="C48" s="13" t="s">
        <v>730</v>
      </c>
      <c r="D48" s="13"/>
      <c r="E48" s="13"/>
      <c r="F48" s="13"/>
      <c r="G48" s="13"/>
      <c r="H48" s="13"/>
      <c r="I48" s="13"/>
      <c r="J48" s="13"/>
      <c r="K48" s="13"/>
    </row>
    <row r="49" customFormat="false" ht="30" hidden="false" customHeight="true" outlineLevel="0" collapsed="false">
      <c r="A49" s="11" t="s">
        <v>731</v>
      </c>
      <c r="B49" s="11"/>
      <c r="C49" s="12" t="s">
        <v>732</v>
      </c>
      <c r="D49" s="12"/>
      <c r="E49" s="12"/>
      <c r="F49" s="12"/>
      <c r="G49" s="12"/>
      <c r="H49" s="12"/>
      <c r="I49" s="12"/>
      <c r="J49" s="12"/>
      <c r="K49" s="12"/>
    </row>
    <row r="50" customFormat="false" ht="30" hidden="false" customHeight="true" outlineLevel="0" collapsed="false">
      <c r="A50" s="11" t="s">
        <v>733</v>
      </c>
      <c r="B50" s="11"/>
      <c r="C50" s="13" t="s">
        <v>734</v>
      </c>
      <c r="D50" s="13"/>
      <c r="E50" s="13"/>
      <c r="F50" s="13"/>
      <c r="G50" s="13"/>
      <c r="H50" s="13"/>
      <c r="I50" s="13"/>
      <c r="J50" s="13"/>
      <c r="K50" s="13"/>
    </row>
    <row r="51" customFormat="false" ht="30" hidden="false" customHeight="true" outlineLevel="0" collapsed="false">
      <c r="A51" s="11" t="s">
        <v>735</v>
      </c>
      <c r="B51" s="11"/>
      <c r="C51" s="12" t="s">
        <v>736</v>
      </c>
      <c r="D51" s="12"/>
      <c r="E51" s="12"/>
      <c r="F51" s="12"/>
      <c r="G51" s="12"/>
      <c r="H51" s="12"/>
      <c r="I51" s="12"/>
      <c r="J51" s="12"/>
      <c r="K51" s="12"/>
    </row>
  </sheetData>
  <mergeCells count="128">
    <mergeCell ref="A1:K1"/>
    <mergeCell ref="A3:K3"/>
    <mergeCell ref="A4:C4"/>
    <mergeCell ref="D4:E4"/>
    <mergeCell ref="F4:K4"/>
    <mergeCell ref="A5:C5"/>
    <mergeCell ref="D5:E5"/>
    <mergeCell ref="F5:K5"/>
    <mergeCell ref="A6:C6"/>
    <mergeCell ref="D6:E6"/>
    <mergeCell ref="F6:K6"/>
    <mergeCell ref="A7:C7"/>
    <mergeCell ref="D7:E7"/>
    <mergeCell ref="F7:K7"/>
    <mergeCell ref="A8:C8"/>
    <mergeCell ref="D8:E8"/>
    <mergeCell ref="F8:K8"/>
    <mergeCell ref="A9:C9"/>
    <mergeCell ref="D9:E9"/>
    <mergeCell ref="F9:K9"/>
    <mergeCell ref="A10:C10"/>
    <mergeCell ref="D10:E10"/>
    <mergeCell ref="F10:K10"/>
    <mergeCell ref="A11:C11"/>
    <mergeCell ref="D11:E11"/>
    <mergeCell ref="F11:K11"/>
    <mergeCell ref="A12:C12"/>
    <mergeCell ref="D12:E12"/>
    <mergeCell ref="F12:K12"/>
    <mergeCell ref="A13:C13"/>
    <mergeCell ref="D13:E13"/>
    <mergeCell ref="F13:K13"/>
    <mergeCell ref="A14:C14"/>
    <mergeCell ref="D14:E14"/>
    <mergeCell ref="F14:K14"/>
    <mergeCell ref="A15:C15"/>
    <mergeCell ref="D15:E15"/>
    <mergeCell ref="F15:K15"/>
    <mergeCell ref="A16:C16"/>
    <mergeCell ref="D16:E16"/>
    <mergeCell ref="F16:K16"/>
    <mergeCell ref="A18:K18"/>
    <mergeCell ref="A19:C19"/>
    <mergeCell ref="E19:G19"/>
    <mergeCell ref="H19:K19"/>
    <mergeCell ref="A20:C20"/>
    <mergeCell ref="E20:G20"/>
    <mergeCell ref="H20:K20"/>
    <mergeCell ref="A21:C21"/>
    <mergeCell ref="E21:G21"/>
    <mergeCell ref="H21:K21"/>
    <mergeCell ref="A22:C22"/>
    <mergeCell ref="E22:G22"/>
    <mergeCell ref="H22:K22"/>
    <mergeCell ref="A23:C23"/>
    <mergeCell ref="E23:G23"/>
    <mergeCell ref="H23:K23"/>
    <mergeCell ref="A24:C24"/>
    <mergeCell ref="E24:G24"/>
    <mergeCell ref="H24:K24"/>
    <mergeCell ref="A25:C25"/>
    <mergeCell ref="E25:G25"/>
    <mergeCell ref="H25:K25"/>
    <mergeCell ref="A26:C26"/>
    <mergeCell ref="E26:G26"/>
    <mergeCell ref="H26:K26"/>
    <mergeCell ref="A27:C27"/>
    <mergeCell ref="E27:G27"/>
    <mergeCell ref="H27:K27"/>
    <mergeCell ref="A28:C28"/>
    <mergeCell ref="E28:G28"/>
    <mergeCell ref="H28:K28"/>
    <mergeCell ref="A29:C29"/>
    <mergeCell ref="E29:G29"/>
    <mergeCell ref="H29:K29"/>
    <mergeCell ref="A30:C30"/>
    <mergeCell ref="E30:G30"/>
    <mergeCell ref="H30:K30"/>
    <mergeCell ref="A31:C31"/>
    <mergeCell ref="E31:G31"/>
    <mergeCell ref="H31:K31"/>
    <mergeCell ref="A32:C32"/>
    <mergeCell ref="E32:G32"/>
    <mergeCell ref="H32:K32"/>
    <mergeCell ref="A33:C33"/>
    <mergeCell ref="E33:G33"/>
    <mergeCell ref="H33:K33"/>
    <mergeCell ref="A34:C34"/>
    <mergeCell ref="E34:G34"/>
    <mergeCell ref="H34:K34"/>
    <mergeCell ref="A35:C35"/>
    <mergeCell ref="E35:G35"/>
    <mergeCell ref="H35:K35"/>
    <mergeCell ref="A36:C36"/>
    <mergeCell ref="E36:G36"/>
    <mergeCell ref="H36:K36"/>
    <mergeCell ref="A37:C37"/>
    <mergeCell ref="E37:G37"/>
    <mergeCell ref="H37:K37"/>
    <mergeCell ref="A38:C38"/>
    <mergeCell ref="E38:G38"/>
    <mergeCell ref="H38:K38"/>
    <mergeCell ref="A39:C39"/>
    <mergeCell ref="E39:G39"/>
    <mergeCell ref="H39:K39"/>
    <mergeCell ref="A40:C40"/>
    <mergeCell ref="E40:G40"/>
    <mergeCell ref="H40:K40"/>
    <mergeCell ref="A41:C41"/>
    <mergeCell ref="E41:G41"/>
    <mergeCell ref="H41:K41"/>
    <mergeCell ref="A43:K43"/>
    <mergeCell ref="A44:B44"/>
    <mergeCell ref="C44:K44"/>
    <mergeCell ref="A45:B45"/>
    <mergeCell ref="C45:K45"/>
    <mergeCell ref="A46:B46"/>
    <mergeCell ref="C46:K46"/>
    <mergeCell ref="A47:B47"/>
    <mergeCell ref="C47:K47"/>
    <mergeCell ref="A48:B48"/>
    <mergeCell ref="C48:K48"/>
    <mergeCell ref="A49:B49"/>
    <mergeCell ref="C49:K49"/>
    <mergeCell ref="A50:B50"/>
    <mergeCell ref="C50:K50"/>
    <mergeCell ref="A51:B51"/>
    <mergeCell ref="C51:K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2" min="10" style="1" width="14"/>
  </cols>
  <sheetData>
    <row r="1" customFormat="false" ht="31.5" hidden="false" customHeight="true" outlineLevel="0" collapsed="false">
      <c r="A1" s="15" t="s">
        <v>737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8" t="s">
        <v>738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26.25" hidden="false" customHeight="true" outlineLevel="0" collapsed="false">
      <c r="A4" s="16" t="s">
        <v>32</v>
      </c>
      <c r="B4" s="23" t="s">
        <v>739</v>
      </c>
      <c r="C4" s="23"/>
      <c r="D4" s="23"/>
      <c r="E4" s="23" t="s">
        <v>740</v>
      </c>
      <c r="F4" s="23"/>
      <c r="G4" s="23"/>
      <c r="H4" s="23"/>
      <c r="I4" s="16" t="s">
        <v>741</v>
      </c>
      <c r="J4" s="23" t="s">
        <v>742</v>
      </c>
      <c r="K4" s="23"/>
      <c r="L4" s="23"/>
    </row>
    <row r="5" customFormat="false" ht="39.75" hidden="false" customHeight="true" outlineLevel="0" collapsed="false">
      <c r="A5" s="72" t="s">
        <v>35</v>
      </c>
      <c r="B5" s="69" t="s">
        <v>743</v>
      </c>
      <c r="C5" s="69"/>
      <c r="D5" s="69"/>
      <c r="E5" s="12" t="s">
        <v>744</v>
      </c>
      <c r="F5" s="12"/>
      <c r="G5" s="12"/>
      <c r="H5" s="12"/>
      <c r="I5" s="31" t="s">
        <v>745</v>
      </c>
      <c r="J5" s="12" t="s">
        <v>746</v>
      </c>
      <c r="K5" s="12"/>
      <c r="L5" s="12"/>
    </row>
    <row r="6" customFormat="false" ht="39.75" hidden="false" customHeight="true" outlineLevel="0" collapsed="false">
      <c r="A6" s="73" t="s">
        <v>38</v>
      </c>
      <c r="B6" s="71" t="s">
        <v>747</v>
      </c>
      <c r="C6" s="71"/>
      <c r="D6" s="71"/>
      <c r="E6" s="13" t="s">
        <v>748</v>
      </c>
      <c r="F6" s="13"/>
      <c r="G6" s="13"/>
      <c r="H6" s="13"/>
      <c r="I6" s="32" t="s">
        <v>749</v>
      </c>
      <c r="J6" s="13" t="s">
        <v>750</v>
      </c>
      <c r="K6" s="13"/>
      <c r="L6" s="13"/>
    </row>
    <row r="7" customFormat="false" ht="39.75" hidden="false" customHeight="true" outlineLevel="0" collapsed="false">
      <c r="A7" s="72" t="s">
        <v>41</v>
      </c>
      <c r="B7" s="69" t="s">
        <v>751</v>
      </c>
      <c r="C7" s="69"/>
      <c r="D7" s="69"/>
      <c r="E7" s="12" t="s">
        <v>752</v>
      </c>
      <c r="F7" s="12"/>
      <c r="G7" s="12"/>
      <c r="H7" s="12"/>
      <c r="I7" s="31" t="s">
        <v>753</v>
      </c>
      <c r="J7" s="12" t="s">
        <v>754</v>
      </c>
      <c r="K7" s="12"/>
      <c r="L7" s="12"/>
    </row>
    <row r="8" customFormat="false" ht="39.75" hidden="false" customHeight="true" outlineLevel="0" collapsed="false">
      <c r="A8" s="73" t="s">
        <v>44</v>
      </c>
      <c r="B8" s="71" t="s">
        <v>755</v>
      </c>
      <c r="C8" s="71"/>
      <c r="D8" s="71"/>
      <c r="E8" s="13" t="s">
        <v>756</v>
      </c>
      <c r="F8" s="13"/>
      <c r="G8" s="13"/>
      <c r="H8" s="13"/>
      <c r="I8" s="32" t="s">
        <v>757</v>
      </c>
      <c r="J8" s="13" t="s">
        <v>758</v>
      </c>
      <c r="K8" s="13"/>
      <c r="L8" s="13"/>
    </row>
    <row r="9" customFormat="false" ht="39.75" hidden="false" customHeight="true" outlineLevel="0" collapsed="false">
      <c r="A9" s="72" t="s">
        <v>47</v>
      </c>
      <c r="B9" s="69" t="s">
        <v>759</v>
      </c>
      <c r="C9" s="69"/>
      <c r="D9" s="69"/>
      <c r="E9" s="12" t="s">
        <v>760</v>
      </c>
      <c r="F9" s="12"/>
      <c r="G9" s="12"/>
      <c r="H9" s="12"/>
      <c r="I9" s="31" t="s">
        <v>761</v>
      </c>
      <c r="J9" s="12" t="s">
        <v>762</v>
      </c>
      <c r="K9" s="12"/>
      <c r="L9" s="12"/>
    </row>
    <row r="11" customFormat="false" ht="21.75" hidden="false" customHeight="true" outlineLevel="0" collapsed="false">
      <c r="A11" s="8" t="s">
        <v>763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26.25" hidden="false" customHeight="true" outlineLevel="0" collapsed="false">
      <c r="A12" s="16" t="s">
        <v>32</v>
      </c>
      <c r="B12" s="23" t="s">
        <v>739</v>
      </c>
      <c r="C12" s="23"/>
      <c r="D12" s="23"/>
      <c r="E12" s="23" t="s">
        <v>740</v>
      </c>
      <c r="F12" s="23"/>
      <c r="G12" s="23"/>
      <c r="H12" s="23"/>
      <c r="I12" s="16" t="s">
        <v>741</v>
      </c>
      <c r="J12" s="23" t="s">
        <v>742</v>
      </c>
      <c r="K12" s="23"/>
      <c r="L12" s="23"/>
    </row>
    <row r="13" customFormat="false" ht="39.75" hidden="false" customHeight="true" outlineLevel="0" collapsed="false">
      <c r="A13" s="72" t="s">
        <v>50</v>
      </c>
      <c r="B13" s="69" t="s">
        <v>764</v>
      </c>
      <c r="C13" s="69"/>
      <c r="D13" s="69"/>
      <c r="E13" s="12" t="s">
        <v>765</v>
      </c>
      <c r="F13" s="12"/>
      <c r="G13" s="12"/>
      <c r="H13" s="12"/>
      <c r="I13" s="31" t="s">
        <v>745</v>
      </c>
      <c r="J13" s="12" t="s">
        <v>766</v>
      </c>
      <c r="K13" s="12"/>
      <c r="L13" s="12"/>
    </row>
    <row r="14" customFormat="false" ht="39.75" hidden="false" customHeight="true" outlineLevel="0" collapsed="false">
      <c r="A14" s="73" t="s">
        <v>53</v>
      </c>
      <c r="B14" s="71" t="s">
        <v>767</v>
      </c>
      <c r="C14" s="71"/>
      <c r="D14" s="71"/>
      <c r="E14" s="13" t="s">
        <v>768</v>
      </c>
      <c r="F14" s="13"/>
      <c r="G14" s="13"/>
      <c r="H14" s="13"/>
      <c r="I14" s="32" t="s">
        <v>753</v>
      </c>
      <c r="J14" s="13" t="s">
        <v>769</v>
      </c>
      <c r="K14" s="13"/>
      <c r="L14" s="13"/>
    </row>
    <row r="15" customFormat="false" ht="39.75" hidden="false" customHeight="true" outlineLevel="0" collapsed="false">
      <c r="A15" s="72" t="s">
        <v>56</v>
      </c>
      <c r="B15" s="69" t="s">
        <v>770</v>
      </c>
      <c r="C15" s="69"/>
      <c r="D15" s="69"/>
      <c r="E15" s="12" t="s">
        <v>771</v>
      </c>
      <c r="F15" s="12"/>
      <c r="G15" s="12"/>
      <c r="H15" s="12"/>
      <c r="I15" s="31" t="s">
        <v>772</v>
      </c>
      <c r="J15" s="12" t="s">
        <v>773</v>
      </c>
      <c r="K15" s="12"/>
      <c r="L15" s="12"/>
    </row>
    <row r="16" customFormat="false" ht="39.75" hidden="false" customHeight="true" outlineLevel="0" collapsed="false">
      <c r="A16" s="73" t="s">
        <v>59</v>
      </c>
      <c r="B16" s="71" t="s">
        <v>774</v>
      </c>
      <c r="C16" s="71"/>
      <c r="D16" s="71"/>
      <c r="E16" s="13" t="s">
        <v>775</v>
      </c>
      <c r="F16" s="13"/>
      <c r="G16" s="13"/>
      <c r="H16" s="13"/>
      <c r="I16" s="32" t="s">
        <v>745</v>
      </c>
      <c r="J16" s="13" t="s">
        <v>776</v>
      </c>
      <c r="K16" s="13"/>
      <c r="L16" s="13"/>
    </row>
    <row r="17" customFormat="false" ht="39.75" hidden="false" customHeight="true" outlineLevel="0" collapsed="false">
      <c r="A17" s="72" t="s">
        <v>62</v>
      </c>
      <c r="B17" s="69" t="s">
        <v>777</v>
      </c>
      <c r="C17" s="69"/>
      <c r="D17" s="69"/>
      <c r="E17" s="12" t="s">
        <v>778</v>
      </c>
      <c r="F17" s="12"/>
      <c r="G17" s="12"/>
      <c r="H17" s="12"/>
      <c r="I17" s="31" t="s">
        <v>757</v>
      </c>
      <c r="J17" s="12" t="s">
        <v>779</v>
      </c>
      <c r="K17" s="12"/>
      <c r="L17" s="12"/>
    </row>
    <row r="19" customFormat="false" ht="21.75" hidden="false" customHeight="true" outlineLevel="0" collapsed="false">
      <c r="A19" s="8" t="s">
        <v>780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26.25" hidden="false" customHeight="true" outlineLevel="0" collapsed="false">
      <c r="A20" s="16" t="s">
        <v>32</v>
      </c>
      <c r="B20" s="23" t="s">
        <v>739</v>
      </c>
      <c r="C20" s="23"/>
      <c r="D20" s="23"/>
      <c r="E20" s="23" t="s">
        <v>572</v>
      </c>
      <c r="F20" s="23"/>
      <c r="G20" s="23"/>
      <c r="H20" s="23"/>
      <c r="I20" s="16" t="s">
        <v>741</v>
      </c>
      <c r="J20" s="23" t="s">
        <v>742</v>
      </c>
      <c r="K20" s="23"/>
      <c r="L20" s="23"/>
    </row>
    <row r="21" customFormat="false" ht="39.75" hidden="false" customHeight="true" outlineLevel="0" collapsed="false">
      <c r="A21" s="72" t="s">
        <v>781</v>
      </c>
      <c r="B21" s="69" t="s">
        <v>782</v>
      </c>
      <c r="C21" s="69"/>
      <c r="D21" s="69"/>
      <c r="E21" s="12" t="s">
        <v>783</v>
      </c>
      <c r="F21" s="12"/>
      <c r="G21" s="12"/>
      <c r="H21" s="12"/>
      <c r="I21" s="31" t="s">
        <v>784</v>
      </c>
      <c r="J21" s="12" t="s">
        <v>785</v>
      </c>
      <c r="K21" s="12"/>
      <c r="L21" s="12"/>
    </row>
    <row r="22" customFormat="false" ht="39.75" hidden="false" customHeight="true" outlineLevel="0" collapsed="false">
      <c r="A22" s="73" t="s">
        <v>786</v>
      </c>
      <c r="B22" s="71" t="s">
        <v>787</v>
      </c>
      <c r="C22" s="71"/>
      <c r="D22" s="71"/>
      <c r="E22" s="13" t="s">
        <v>788</v>
      </c>
      <c r="F22" s="13"/>
      <c r="G22" s="13"/>
      <c r="H22" s="13"/>
      <c r="I22" s="32" t="s">
        <v>789</v>
      </c>
      <c r="J22" s="13" t="s">
        <v>790</v>
      </c>
      <c r="K22" s="13"/>
      <c r="L22" s="13"/>
    </row>
    <row r="23" customFormat="false" ht="39.75" hidden="false" customHeight="true" outlineLevel="0" collapsed="false">
      <c r="A23" s="72" t="s">
        <v>791</v>
      </c>
      <c r="B23" s="69" t="s">
        <v>792</v>
      </c>
      <c r="C23" s="69"/>
      <c r="D23" s="69"/>
      <c r="E23" s="12" t="s">
        <v>793</v>
      </c>
      <c r="F23" s="12"/>
      <c r="G23" s="12"/>
      <c r="H23" s="12"/>
      <c r="I23" s="31" t="s">
        <v>794</v>
      </c>
      <c r="J23" s="12" t="s">
        <v>795</v>
      </c>
      <c r="K23" s="12"/>
      <c r="L23" s="12"/>
    </row>
    <row r="24" customFormat="false" ht="39.75" hidden="false" customHeight="true" outlineLevel="0" collapsed="false">
      <c r="A24" s="73" t="s">
        <v>796</v>
      </c>
      <c r="B24" s="71" t="s">
        <v>797</v>
      </c>
      <c r="C24" s="71"/>
      <c r="D24" s="71"/>
      <c r="E24" s="13" t="s">
        <v>798</v>
      </c>
      <c r="F24" s="13"/>
      <c r="G24" s="13"/>
      <c r="H24" s="13"/>
      <c r="I24" s="32" t="s">
        <v>799</v>
      </c>
      <c r="J24" s="13" t="s">
        <v>800</v>
      </c>
      <c r="K24" s="13"/>
      <c r="L24" s="13"/>
    </row>
    <row r="25" customFormat="false" ht="39.75" hidden="false" customHeight="true" outlineLevel="0" collapsed="false">
      <c r="A25" s="72" t="s">
        <v>801</v>
      </c>
      <c r="B25" s="69" t="s">
        <v>802</v>
      </c>
      <c r="C25" s="69"/>
      <c r="D25" s="69"/>
      <c r="E25" s="12" t="s">
        <v>803</v>
      </c>
      <c r="F25" s="12"/>
      <c r="G25" s="12"/>
      <c r="H25" s="12"/>
      <c r="I25" s="31" t="s">
        <v>804</v>
      </c>
      <c r="J25" s="12" t="s">
        <v>805</v>
      </c>
      <c r="K25" s="12"/>
      <c r="L25" s="12"/>
    </row>
    <row r="27" customFormat="false" ht="21.75" hidden="false" customHeight="true" outlineLevel="0" collapsed="false">
      <c r="A27" s="8" t="s">
        <v>806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5" hidden="false" customHeight="true" outlineLevel="0" collapsed="false">
      <c r="A28" s="23" t="s">
        <v>110</v>
      </c>
      <c r="B28" s="23"/>
      <c r="C28" s="23"/>
      <c r="D28" s="23" t="s">
        <v>807</v>
      </c>
      <c r="E28" s="23"/>
      <c r="F28" s="23" t="s">
        <v>808</v>
      </c>
      <c r="G28" s="23"/>
      <c r="H28" s="23" t="s">
        <v>809</v>
      </c>
      <c r="I28" s="23"/>
      <c r="J28" s="23" t="s">
        <v>810</v>
      </c>
      <c r="K28" s="23"/>
      <c r="L28" s="23"/>
    </row>
    <row r="29" customFormat="false" ht="21.75" hidden="false" customHeight="true" outlineLevel="0" collapsed="false">
      <c r="A29" s="69" t="s">
        <v>811</v>
      </c>
      <c r="B29" s="69"/>
      <c r="C29" s="69"/>
      <c r="D29" s="74" t="s">
        <v>812</v>
      </c>
      <c r="E29" s="74"/>
      <c r="F29" s="70" t="s">
        <v>813</v>
      </c>
      <c r="G29" s="70"/>
      <c r="H29" s="31" t="s">
        <v>814</v>
      </c>
      <c r="I29" s="31"/>
      <c r="J29" s="12" t="s">
        <v>815</v>
      </c>
      <c r="K29" s="12"/>
      <c r="L29" s="12"/>
    </row>
    <row r="30" customFormat="false" ht="21.75" hidden="false" customHeight="true" outlineLevel="0" collapsed="false">
      <c r="A30" s="71" t="s">
        <v>816</v>
      </c>
      <c r="B30" s="71"/>
      <c r="C30" s="71"/>
      <c r="D30" s="74" t="s">
        <v>817</v>
      </c>
      <c r="E30" s="74"/>
      <c r="F30" s="70" t="s">
        <v>818</v>
      </c>
      <c r="G30" s="70"/>
      <c r="H30" s="32" t="s">
        <v>593</v>
      </c>
      <c r="I30" s="32"/>
      <c r="J30" s="13" t="s">
        <v>819</v>
      </c>
      <c r="K30" s="13"/>
      <c r="L30" s="13"/>
    </row>
    <row r="31" customFormat="false" ht="21.75" hidden="false" customHeight="true" outlineLevel="0" collapsed="false">
      <c r="A31" s="69" t="s">
        <v>820</v>
      </c>
      <c r="B31" s="69"/>
      <c r="C31" s="69"/>
      <c r="D31" s="74" t="s">
        <v>821</v>
      </c>
      <c r="E31" s="74"/>
      <c r="F31" s="70" t="s">
        <v>822</v>
      </c>
      <c r="G31" s="70"/>
      <c r="H31" s="31" t="s">
        <v>591</v>
      </c>
      <c r="I31" s="31"/>
      <c r="J31" s="12" t="s">
        <v>823</v>
      </c>
      <c r="K31" s="12"/>
      <c r="L31" s="12"/>
    </row>
    <row r="32" customFormat="false" ht="21.75" hidden="false" customHeight="true" outlineLevel="0" collapsed="false">
      <c r="A32" s="71" t="s">
        <v>824</v>
      </c>
      <c r="B32" s="71"/>
      <c r="C32" s="71"/>
      <c r="D32" s="74" t="s">
        <v>825</v>
      </c>
      <c r="E32" s="74"/>
      <c r="F32" s="70" t="s">
        <v>826</v>
      </c>
      <c r="G32" s="70"/>
      <c r="H32" s="32" t="s">
        <v>593</v>
      </c>
      <c r="I32" s="32"/>
      <c r="J32" s="13" t="s">
        <v>827</v>
      </c>
      <c r="K32" s="13"/>
      <c r="L32" s="13"/>
    </row>
    <row r="33" customFormat="false" ht="21.75" hidden="false" customHeight="true" outlineLevel="0" collapsed="false">
      <c r="A33" s="69" t="s">
        <v>828</v>
      </c>
      <c r="B33" s="69"/>
      <c r="C33" s="69"/>
      <c r="D33" s="74" t="s">
        <v>821</v>
      </c>
      <c r="E33" s="74"/>
      <c r="F33" s="70" t="s">
        <v>829</v>
      </c>
      <c r="G33" s="70"/>
      <c r="H33" s="31" t="s">
        <v>830</v>
      </c>
      <c r="I33" s="31"/>
      <c r="J33" s="12" t="s">
        <v>831</v>
      </c>
      <c r="K33" s="12"/>
      <c r="L33" s="12"/>
    </row>
    <row r="34" customFormat="false" ht="21.75" hidden="false" customHeight="true" outlineLevel="0" collapsed="false">
      <c r="A34" s="71" t="s">
        <v>832</v>
      </c>
      <c r="B34" s="71"/>
      <c r="C34" s="71"/>
      <c r="D34" s="74" t="s">
        <v>833</v>
      </c>
      <c r="E34" s="74"/>
      <c r="F34" s="70" t="s">
        <v>834</v>
      </c>
      <c r="G34" s="70"/>
      <c r="H34" s="32" t="s">
        <v>835</v>
      </c>
      <c r="I34" s="32"/>
      <c r="J34" s="13" t="s">
        <v>836</v>
      </c>
      <c r="K34" s="13"/>
      <c r="L34" s="13"/>
    </row>
    <row r="35" customFormat="false" ht="21.75" hidden="false" customHeight="true" outlineLevel="0" collapsed="false">
      <c r="A35" s="69" t="s">
        <v>837</v>
      </c>
      <c r="B35" s="69"/>
      <c r="C35" s="69"/>
      <c r="D35" s="74" t="s">
        <v>838</v>
      </c>
      <c r="E35" s="74"/>
      <c r="F35" s="70" t="s">
        <v>839</v>
      </c>
      <c r="G35" s="70"/>
      <c r="H35" s="31" t="s">
        <v>840</v>
      </c>
      <c r="I35" s="31"/>
      <c r="J35" s="12" t="s">
        <v>841</v>
      </c>
      <c r="K35" s="12"/>
      <c r="L35" s="12"/>
    </row>
    <row r="36" customFormat="false" ht="21.75" hidden="false" customHeight="true" outlineLevel="0" collapsed="false">
      <c r="A36" s="71" t="s">
        <v>842</v>
      </c>
      <c r="B36" s="71"/>
      <c r="C36" s="71"/>
      <c r="D36" s="74" t="s">
        <v>843</v>
      </c>
      <c r="E36" s="74"/>
      <c r="F36" s="70" t="s">
        <v>844</v>
      </c>
      <c r="G36" s="70"/>
      <c r="H36" s="32" t="s">
        <v>593</v>
      </c>
      <c r="I36" s="32"/>
      <c r="J36" s="13" t="s">
        <v>845</v>
      </c>
      <c r="K36" s="13"/>
      <c r="L36" s="13"/>
    </row>
    <row r="37" customFormat="false" ht="21.75" hidden="false" customHeight="true" outlineLevel="0" collapsed="false">
      <c r="A37" s="69" t="s">
        <v>846</v>
      </c>
      <c r="B37" s="69"/>
      <c r="C37" s="69"/>
      <c r="D37" s="74" t="s">
        <v>821</v>
      </c>
      <c r="E37" s="74"/>
      <c r="F37" s="70" t="s">
        <v>847</v>
      </c>
      <c r="G37" s="70"/>
      <c r="H37" s="31" t="s">
        <v>848</v>
      </c>
      <c r="I37" s="31"/>
      <c r="J37" s="12" t="s">
        <v>849</v>
      </c>
      <c r="K37" s="12"/>
      <c r="L37" s="12"/>
    </row>
    <row r="38" customFormat="false" ht="21.75" hidden="false" customHeight="true" outlineLevel="0" collapsed="false">
      <c r="A38" s="71" t="s">
        <v>850</v>
      </c>
      <c r="B38" s="71"/>
      <c r="C38" s="71"/>
      <c r="D38" s="74" t="s">
        <v>821</v>
      </c>
      <c r="E38" s="74"/>
      <c r="F38" s="70" t="s">
        <v>593</v>
      </c>
      <c r="G38" s="70"/>
      <c r="H38" s="32" t="s">
        <v>851</v>
      </c>
      <c r="I38" s="32"/>
      <c r="J38" s="13" t="s">
        <v>852</v>
      </c>
      <c r="K38" s="13"/>
      <c r="L38" s="13"/>
    </row>
  </sheetData>
  <mergeCells count="114">
    <mergeCell ref="A1:L1"/>
    <mergeCell ref="A3:L3"/>
    <mergeCell ref="B4:D4"/>
    <mergeCell ref="E4:H4"/>
    <mergeCell ref="J4:L4"/>
    <mergeCell ref="B5:D5"/>
    <mergeCell ref="E5:H5"/>
    <mergeCell ref="J5:L5"/>
    <mergeCell ref="B6:D6"/>
    <mergeCell ref="E6:H6"/>
    <mergeCell ref="J6:L6"/>
    <mergeCell ref="B7:D7"/>
    <mergeCell ref="E7:H7"/>
    <mergeCell ref="J7:L7"/>
    <mergeCell ref="B8:D8"/>
    <mergeCell ref="E8:H8"/>
    <mergeCell ref="J8:L8"/>
    <mergeCell ref="B9:D9"/>
    <mergeCell ref="E9:H9"/>
    <mergeCell ref="J9:L9"/>
    <mergeCell ref="A11:L11"/>
    <mergeCell ref="B12:D12"/>
    <mergeCell ref="E12:H12"/>
    <mergeCell ref="J12:L12"/>
    <mergeCell ref="B13:D13"/>
    <mergeCell ref="E13:H13"/>
    <mergeCell ref="J13:L13"/>
    <mergeCell ref="B14:D14"/>
    <mergeCell ref="E14:H14"/>
    <mergeCell ref="J14:L14"/>
    <mergeCell ref="B15:D15"/>
    <mergeCell ref="E15:H15"/>
    <mergeCell ref="J15:L15"/>
    <mergeCell ref="B16:D16"/>
    <mergeCell ref="E16:H16"/>
    <mergeCell ref="J16:L16"/>
    <mergeCell ref="B17:D17"/>
    <mergeCell ref="E17:H17"/>
    <mergeCell ref="J17:L17"/>
    <mergeCell ref="A19:L19"/>
    <mergeCell ref="B20:D20"/>
    <mergeCell ref="E20:H20"/>
    <mergeCell ref="J20:L20"/>
    <mergeCell ref="B21:D21"/>
    <mergeCell ref="E21:H21"/>
    <mergeCell ref="J21:L21"/>
    <mergeCell ref="B22:D22"/>
    <mergeCell ref="E22:H22"/>
    <mergeCell ref="J22:L22"/>
    <mergeCell ref="B23:D23"/>
    <mergeCell ref="E23:H23"/>
    <mergeCell ref="J23:L23"/>
    <mergeCell ref="B24:D24"/>
    <mergeCell ref="E24:H24"/>
    <mergeCell ref="J24:L24"/>
    <mergeCell ref="B25:D25"/>
    <mergeCell ref="E25:H25"/>
    <mergeCell ref="J25:L25"/>
    <mergeCell ref="A27:L27"/>
    <mergeCell ref="A28:C28"/>
    <mergeCell ref="D28:E28"/>
    <mergeCell ref="F28:G28"/>
    <mergeCell ref="H28:I28"/>
    <mergeCell ref="J28:L28"/>
    <mergeCell ref="A29:C29"/>
    <mergeCell ref="D29:E29"/>
    <mergeCell ref="F29:G29"/>
    <mergeCell ref="H29:I29"/>
    <mergeCell ref="J29:L29"/>
    <mergeCell ref="A30:C30"/>
    <mergeCell ref="D30:E30"/>
    <mergeCell ref="F30:G30"/>
    <mergeCell ref="H30:I30"/>
    <mergeCell ref="J30:L30"/>
    <mergeCell ref="A31:C31"/>
    <mergeCell ref="D31:E31"/>
    <mergeCell ref="F31:G31"/>
    <mergeCell ref="H31:I31"/>
    <mergeCell ref="J31:L31"/>
    <mergeCell ref="A32:C32"/>
    <mergeCell ref="D32:E32"/>
    <mergeCell ref="F32:G32"/>
    <mergeCell ref="H32:I32"/>
    <mergeCell ref="J32:L32"/>
    <mergeCell ref="A33:C33"/>
    <mergeCell ref="D33:E33"/>
    <mergeCell ref="F33:G33"/>
    <mergeCell ref="H33:I33"/>
    <mergeCell ref="J33:L33"/>
    <mergeCell ref="A34:C34"/>
    <mergeCell ref="D34:E34"/>
    <mergeCell ref="F34:G34"/>
    <mergeCell ref="H34:I34"/>
    <mergeCell ref="J34:L34"/>
    <mergeCell ref="A35:C35"/>
    <mergeCell ref="D35:E35"/>
    <mergeCell ref="F35:G35"/>
    <mergeCell ref="H35:I35"/>
    <mergeCell ref="J35:L35"/>
    <mergeCell ref="A36:C36"/>
    <mergeCell ref="D36:E36"/>
    <mergeCell ref="F36:G36"/>
    <mergeCell ref="H36:I36"/>
    <mergeCell ref="J36:L36"/>
    <mergeCell ref="A37:C37"/>
    <mergeCell ref="D37:E37"/>
    <mergeCell ref="F37:G37"/>
    <mergeCell ref="H37:I37"/>
    <mergeCell ref="J37:L37"/>
    <mergeCell ref="A38:C38"/>
    <mergeCell ref="D38:E38"/>
    <mergeCell ref="F38:G38"/>
    <mergeCell ref="H38:I38"/>
    <mergeCell ref="J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2026-03-01T19:28:49Z</dcterms:created>
  <dc:creator>openpyxl</dc:creator>
  <dc:description/>
  <dc:language>en-US</dc:language>
  <cp:lastModifiedBy/>
  <dcterms:modified xsi:type="dcterms:W3CDTF">2026-03-01T19:29:21Z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